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II\2026\BJKT\perf-test-wm-apig-v2\excel\"/>
    </mc:Choice>
  </mc:AlternateContent>
  <xr:revisionPtr revIDLastSave="0" documentId="13_ncr:1_{C840EBE1-52FB-4C4B-AE45-64FE70B0E04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port" sheetId="1" r:id="rId1"/>
    <sheet name="Summary" sheetId="2" r:id="rId2"/>
    <sheet name="Goal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19" i="1" l="1"/>
  <c r="Z9" i="1"/>
  <c r="Y30" i="1"/>
  <c r="Y29" i="1"/>
  <c r="AA29" i="1"/>
  <c r="R23" i="2"/>
  <c r="H23" i="2"/>
  <c r="AB31" i="1"/>
  <c r="AA31" i="1"/>
  <c r="Z31" i="1"/>
  <c r="Y31" i="1"/>
  <c r="AB30" i="1"/>
  <c r="AA30" i="1"/>
  <c r="Z30" i="1"/>
  <c r="AB29" i="1"/>
  <c r="Z29" i="1"/>
  <c r="AB21" i="1"/>
  <c r="AA21" i="1"/>
  <c r="Z21" i="1"/>
  <c r="Y21" i="1"/>
  <c r="AB20" i="1"/>
  <c r="AA20" i="1"/>
  <c r="Z20" i="1"/>
  <c r="Y20" i="1"/>
  <c r="AB19" i="1"/>
  <c r="Z19" i="1"/>
  <c r="Y19" i="1"/>
  <c r="AB9" i="1"/>
  <c r="AA9" i="1"/>
  <c r="Y9" i="1"/>
  <c r="AB8" i="1"/>
  <c r="AA8" i="1"/>
  <c r="Z8" i="1"/>
  <c r="Y8" i="1"/>
  <c r="AB7" i="1"/>
  <c r="AA7" i="1"/>
  <c r="Z7" i="1"/>
  <c r="Y7" i="1"/>
</calcChain>
</file>

<file path=xl/sharedStrings.xml><?xml version="1.0" encoding="utf-8"?>
<sst xmlns="http://schemas.openxmlformats.org/spreadsheetml/2006/main" count="284" uniqueCount="104">
  <si>
    <t xml:space="preserve">PERFORMANCE TESTING NODE JS (ElysiaJS) WITHOUT Webmethod API Gateway 11.1 </t>
  </si>
  <si>
    <t>ms</t>
  </si>
  <si>
    <t>Date</t>
  </si>
  <si>
    <t>Duration (m)</t>
  </si>
  <si>
    <t>Core Services</t>
  </si>
  <si>
    <t>TPS</t>
  </si>
  <si>
    <t>TPS MAX</t>
  </si>
  <si>
    <t>Sample</t>
  </si>
  <si>
    <t>Error</t>
  </si>
  <si>
    <t>Error Rate %</t>
  </si>
  <si>
    <t>AVG</t>
  </si>
  <si>
    <t>Median</t>
  </si>
  <si>
    <t>MIN</t>
  </si>
  <si>
    <t>MAX</t>
  </si>
  <si>
    <t>CPU</t>
  </si>
  <si>
    <t>Utilization</t>
  </si>
  <si>
    <t>Note</t>
  </si>
  <si>
    <t>Result</t>
  </si>
  <si>
    <t>90th pct</t>
  </si>
  <si>
    <t>95th pct</t>
  </si>
  <si>
    <t>99th pct</t>
  </si>
  <si>
    <t>TPS per vCPU</t>
  </si>
  <si>
    <t>TPS per 1% CPU</t>
  </si>
  <si>
    <t>CPU cost per req</t>
  </si>
  <si>
    <t>Latency budget %</t>
  </si>
  <si>
    <t>CCU</t>
  </si>
  <si>
    <t>CPU Usage (%)</t>
  </si>
  <si>
    <t>Memory Usage (%)</t>
  </si>
  <si>
    <t>(ms)</t>
  </si>
  <si>
    <t>TPS ÷ vCPU</t>
  </si>
  <si>
    <t>TPS ÷ CPU avg%</t>
  </si>
  <si>
    <t>CPU% ÷ TPS</t>
  </si>
  <si>
    <t>AVG ÷ 60000ms ×100</t>
  </si>
  <si>
    <t>Local Device</t>
  </si>
  <si>
    <t>50 (Baseline)</t>
  </si>
  <si>
    <t>NODE JS PROCESS SERVICE (WITHOUT API GATEWAY)</t>
  </si>
  <si>
    <t>0.00</t>
  </si>
  <si>
    <t>Memory is already on high usage before the test started (~88% baseline). So Memory usage value for the test may look inflated. Running the service only caused a 2-5% spike</t>
  </si>
  <si>
    <t>100 (Medium)</t>
  </si>
  <si>
    <t>same as before</t>
  </si>
  <si>
    <t>200 (Peak)</t>
  </si>
  <si>
    <t>PERFORMANCE TESTING NODE JS (ElysiaJS) WITH Webmethod API Gateway 11.1</t>
  </si>
  <si>
    <t>NODE JS PROCESS SERVICE (WITH API GATEWAY in Docker)</t>
  </si>
  <si>
    <t>56.83</t>
  </si>
  <si>
    <t>96.5%</t>
  </si>
  <si>
    <t>Memory is already on high usage before the test started (~88% baseline). So Memory usage value for the test may look inflated. Running the service only caused a 2-5% spike . All errors are from a Request Timeout (408) that is caused from API Gateway. API Gateway running in Docker on Windows (WSL2).
WSL2 network virtualization adds significant latency per request.
Gateway is not resource-limited (Memory: 0, NanoCpus: 0) but 
WSL2 virtual network layer creates bottleneck.
Not representative of production deployment on dedicated server.</t>
  </si>
  <si>
    <t>93.4%</t>
  </si>
  <si>
    <t>94%</t>
  </si>
  <si>
    <t>TBD</t>
  </si>
  <si>
    <t>PERFORMANCE TESTING IS Flow Service (WM IS 11.1) WITHOUT webMethods API Gateway 11.1</t>
  </si>
  <si>
    <t>Performance Test — Summary &amp; vCPU Efficiency</t>
  </si>
  <si>
    <t>JMeter Test Plan Config</t>
  </si>
  <si>
    <t>Target Host</t>
  </si>
  <si>
    <t>localhost:3000</t>
  </si>
  <si>
    <t>localhost:6655</t>
  </si>
  <si>
    <t>API Path</t>
  </si>
  <si>
    <t>/api-test</t>
  </si>
  <si>
    <t>/gateway/internal-jmeter-testing/1.0/api-test</t>
  </si>
  <si>
    <t>Auth Header</t>
  </si>
  <si>
    <t>None</t>
  </si>
  <si>
    <t>x-Gateway-APIKey</t>
  </si>
  <si>
    <t>Authorization</t>
  </si>
  <si>
    <t>JWT</t>
  </si>
  <si>
    <t>Phase 1 — Baseline</t>
  </si>
  <si>
    <t>50 users | ramp 10s | duration 60s</t>
  </si>
  <si>
    <t>Phase 2 — Medium</t>
  </si>
  <si>
    <t>100 users | ramp 20s | duration 60s</t>
  </si>
  <si>
    <t>Phase 3 — Peak</t>
  </si>
  <si>
    <t>200 users | ramp 30s | duration 60s</t>
  </si>
  <si>
    <t>API Gateway</t>
  </si>
  <si>
    <t>webMethods API Gateway 11.1</t>
  </si>
  <si>
    <t>GW Policies</t>
  </si>
  <si>
    <t>API Key Auth | Straight Through Routing | Log Invocation | Conditional Error Handling</t>
  </si>
  <si>
    <t>Conn Timeout</t>
  </si>
  <si>
    <t>30 s</t>
  </si>
  <si>
    <t>Read Timeout (RTO)</t>
  </si>
  <si>
    <t>60 s</t>
  </si>
  <si>
    <t>Native SVC Timeout</t>
  </si>
  <si>
    <t>90 s</t>
  </si>
  <si>
    <t>Hardware &amp; vCPU Config (Backend Only without API Gateway)</t>
  </si>
  <si>
    <t>Hardware &amp; vCPU Config (Backend with WM API Gateway 11.1)</t>
  </si>
  <si>
    <t>Phase</t>
  </si>
  <si>
    <t>vCPU Count</t>
  </si>
  <si>
    <t>CPU Model</t>
  </si>
  <si>
    <t>RAM</t>
  </si>
  <si>
    <t>OS</t>
  </si>
  <si>
    <t>vCPU Usage (%)</t>
  </si>
  <si>
    <t>Notes</t>
  </si>
  <si>
    <t>AMD Ryzen 5 8645HS</t>
  </si>
  <si>
    <t>16 GB</t>
  </si>
  <si>
    <t>Windows 11 Pro</t>
  </si>
  <si>
    <t>Laptop — local test machine. Memory is already on high usage before the test started (~88% baseline). So Memory usage value for the test may look inflated. Running the service only caused a 2-5% spike</t>
  </si>
  <si>
    <t>same as above</t>
  </si>
  <si>
    <t>1 vCPU = ? TPS  —  Efficiency Summary</t>
  </si>
  <si>
    <t>TPS (avg)</t>
  </si>
  <si>
    <t>Failed</t>
  </si>
  <si>
    <t>14.45%</t>
  </si>
  <si>
    <t>Goals :</t>
  </si>
  <si>
    <t>* Mendapatkan config adapter yang optimal</t>
  </si>
  <si>
    <t>* Target RPS 4000</t>
  </si>
  <si>
    <t>0.0%</t>
  </si>
  <si>
    <t>WM IS Flow Service (IS in Docker— No API Gateway)</t>
  </si>
  <si>
    <t>0.00%</t>
  </si>
  <si>
    <t>D:\MII\2026\BJKT\perf-test-wm-apig-v2\ely_results\ely_report\index.html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</si>
</sst>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0.0"/>
    <numFmt numFmtId="166" formatCode="0.0000"/>
    <numFmt numFmtId="167" formatCode="0.00\%"/>
  </numFmts>
  <fonts count="3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  <charset val="1"/>
    </font>
    <font>
      <b/>
      <sz val="9"/>
      <color rgb="FFFFFFFF"/>
      <name val="Cambria"/>
      <charset val="1"/>
    </font>
    <font>
      <b/>
      <sz val="9"/>
      <color rgb="FF375623"/>
      <name val="Cambria"/>
      <charset val="1"/>
    </font>
    <font>
      <sz val="8"/>
      <color rgb="FFFFFFFF"/>
      <name val="Cambria"/>
      <charset val="1"/>
    </font>
    <font>
      <sz val="8"/>
      <color rgb="FF375623"/>
      <name val="Cambria"/>
      <charset val="1"/>
    </font>
    <font>
      <sz val="8"/>
      <color rgb="FF000000"/>
      <name val="Cambria"/>
      <charset val="1"/>
    </font>
    <font>
      <u/>
      <sz val="11"/>
      <color theme="10"/>
      <name val="Calibri"/>
      <family val="2"/>
      <charset val="1"/>
    </font>
    <font>
      <sz val="10"/>
      <color rgb="FF000000"/>
      <name val="Cambria"/>
      <charset val="1"/>
    </font>
    <font>
      <b/>
      <sz val="10"/>
      <color rgb="FF375623"/>
      <name val="Cambria"/>
      <charset val="1"/>
    </font>
    <font>
      <sz val="10"/>
      <color rgb="FF1F3864"/>
      <name val="Cambria"/>
      <charset val="1"/>
    </font>
    <font>
      <sz val="10"/>
      <color rgb="FF833C11"/>
      <name val="Cambria"/>
      <charset val="1"/>
    </font>
    <font>
      <sz val="10"/>
      <color rgb="FF7030A0"/>
      <name val="Cambria"/>
      <charset val="1"/>
    </font>
    <font>
      <b/>
      <sz val="22"/>
      <color rgb="FFFFFFFF"/>
      <name val="Cambria"/>
      <charset val="1"/>
    </font>
    <font>
      <sz val="11"/>
      <color rgb="FF000000"/>
      <name val="Cambria"/>
      <charset val="1"/>
    </font>
    <font>
      <sz val="10"/>
      <name val="Cambria"/>
      <charset val="1"/>
    </font>
    <font>
      <b/>
      <sz val="14"/>
      <color rgb="FFFFFFFF"/>
      <name val="Cambria"/>
      <charset val="1"/>
    </font>
    <font>
      <b/>
      <sz val="11"/>
      <color rgb="FFFFFFFF"/>
      <name val="Cambria"/>
      <charset val="1"/>
    </font>
    <font>
      <b/>
      <sz val="10"/>
      <color rgb="FF000000"/>
      <name val="Cambria"/>
      <charset val="1"/>
    </font>
    <font>
      <b/>
      <sz val="11"/>
      <color theme="1"/>
      <name val="Calibri"/>
      <family val="2"/>
      <charset val="1"/>
    </font>
    <font>
      <b/>
      <sz val="10"/>
      <color rgb="FF000000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0"/>
      <color rgb="FFFFFFFF"/>
      <name val="Cambria"/>
      <charset val="1"/>
    </font>
    <font>
      <sz val="10"/>
      <color rgb="FF000000"/>
      <name val="Cambria"/>
      <family val="1"/>
      <charset val="1"/>
    </font>
    <font>
      <b/>
      <sz val="10"/>
      <color rgb="FF7030A0"/>
      <name val="Cambria"/>
      <charset val="1"/>
    </font>
    <font>
      <b/>
      <sz val="22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sz val="10"/>
      <color rgb="FF1F3864"/>
      <name val="Calibri"/>
      <family val="2"/>
      <scheme val="minor"/>
    </font>
    <font>
      <sz val="10"/>
      <color rgb="FF833C11"/>
      <name val="Calibri"/>
      <family val="2"/>
      <scheme val="minor"/>
    </font>
    <font>
      <sz val="10"/>
      <color rgb="FF7030A0"/>
      <name val="Calibri"/>
      <family val="2"/>
      <scheme val="minor"/>
    </font>
    <font>
      <sz val="11"/>
      <color rgb="FF000000"/>
      <name val="Cambria"/>
      <family val="1"/>
    </font>
  </fonts>
  <fills count="24">
    <fill>
      <patternFill patternType="none"/>
    </fill>
    <fill>
      <patternFill patternType="gray125"/>
    </fill>
    <fill>
      <patternFill patternType="solid">
        <fgColor theme="4" tint="-0.499984740745262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rgb="FFC6E0B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F2F2F2"/>
      </patternFill>
    </fill>
    <fill>
      <patternFill patternType="solid">
        <fgColor rgb="FF8EA9C1"/>
        <bgColor rgb="FF9999FF"/>
      </patternFill>
    </fill>
    <fill>
      <patternFill patternType="solid">
        <fgColor rgb="FFC6E0B4"/>
        <bgColor rgb="FFD9D9D9"/>
      </patternFill>
    </fill>
    <fill>
      <patternFill patternType="solid">
        <fgColor theme="0" tint="-0.14999847407452621"/>
        <bgColor rgb="FFD6E4F0"/>
      </patternFill>
    </fill>
    <fill>
      <patternFill patternType="solid">
        <fgColor theme="5" tint="0.59978026673177287"/>
        <bgColor rgb="FFF4B183"/>
      </patternFill>
    </fill>
    <fill>
      <patternFill patternType="solid">
        <fgColor theme="5" tint="0.39979247413556324"/>
        <bgColor rgb="FFF8CBAD"/>
      </patternFill>
    </fill>
    <fill>
      <patternFill patternType="solid">
        <fgColor rgb="FF1F3864"/>
        <bgColor rgb="FF2038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theme="4" tint="-0.499984740745262"/>
        <bgColor rgb="FFF2F2F2"/>
      </patternFill>
    </fill>
    <fill>
      <patternFill patternType="solid">
        <fgColor theme="0" tint="-0.249977111117893"/>
        <bgColor rgb="FF2E75B6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0" tint="-0.249977111117893"/>
        <bgColor rgb="FF9999FF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00B050"/>
        <bgColor rgb="FF1F38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0" fillId="14" borderId="0" xfId="0" applyFont="1" applyFill="1" applyAlignment="1">
      <alignment horizontal="left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9" fontId="10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9" fontId="10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2" fontId="26" fillId="6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2" fillId="17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4" borderId="2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 wrapText="1"/>
    </xf>
    <xf numFmtId="0" fontId="30" fillId="21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30" fillId="2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1" fillId="0" borderId="1" xfId="0" applyFont="1" applyBorder="1"/>
    <xf numFmtId="0" fontId="32" fillId="0" borderId="1" xfId="0" applyFont="1" applyBorder="1" applyAlignment="1">
      <alignment horizontal="center" vertical="center" wrapText="1"/>
    </xf>
    <xf numFmtId="165" fontId="33" fillId="0" borderId="1" xfId="0" applyNumberFormat="1" applyFont="1" applyBorder="1" applyAlignment="1">
      <alignment horizontal="center" vertical="center" wrapText="1"/>
    </xf>
    <xf numFmtId="165" fontId="34" fillId="0" borderId="1" xfId="0" applyNumberFormat="1" applyFont="1" applyBorder="1" applyAlignment="1">
      <alignment horizontal="center" vertical="center" wrapText="1"/>
    </xf>
    <xf numFmtId="166" fontId="35" fillId="0" borderId="1" xfId="0" applyNumberFormat="1" applyFont="1" applyBorder="1" applyAlignment="1">
      <alignment horizontal="center" vertical="center" wrapText="1"/>
    </xf>
    <xf numFmtId="167" fontId="36" fillId="0" borderId="1" xfId="0" applyNumberFormat="1" applyFont="1" applyBorder="1" applyAlignment="1">
      <alignment horizontal="center" vertical="center" wrapText="1"/>
    </xf>
    <xf numFmtId="0" fontId="0" fillId="23" borderId="0" xfId="0" applyFill="1"/>
    <xf numFmtId="14" fontId="16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2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9" fontId="16" fillId="0" borderId="5" xfId="0" applyNumberFormat="1" applyFont="1" applyBorder="1" applyAlignment="1">
      <alignment horizontal="center" vertical="center" wrapText="1"/>
    </xf>
    <xf numFmtId="9" fontId="16" fillId="0" borderId="7" xfId="0" applyNumberFormat="1" applyFont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3" fillId="13" borderId="5" xfId="0" applyFont="1" applyFill="1" applyBorder="1" applyAlignment="1">
      <alignment horizontal="left" vertical="center" wrapText="1"/>
    </xf>
    <xf numFmtId="0" fontId="23" fillId="13" borderId="6" xfId="0" applyFont="1" applyFill="1" applyBorder="1" applyAlignment="1">
      <alignment horizontal="left" vertical="center" wrapText="1"/>
    </xf>
    <xf numFmtId="0" fontId="19" fillId="1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08080"/>
      <rgbColor rgb="FF9999FF"/>
      <rgbColor rgb="FF7030A0"/>
      <rgbColor rgb="FFF2F2F2"/>
      <rgbColor rgb="FFD6E4F0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4B183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8EA9C1"/>
      <rgbColor rgb="FF1F3864"/>
      <rgbColor rgb="FF339966"/>
      <rgbColor rgb="FF003300"/>
      <rgbColor rgb="FF375623"/>
      <rgbColor rgb="FF833C11"/>
      <rgbColor rgb="FF993366"/>
      <rgbColor rgb="FF333399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31"/>
  <sheetViews>
    <sheetView tabSelected="1" zoomScale="70" zoomScaleNormal="85" workbookViewId="0">
      <pane ySplit="5" topLeftCell="A6" activePane="bottomLeft" state="frozen"/>
      <selection pane="bottomLeft" activeCell="AD9" sqref="AD9"/>
    </sheetView>
  </sheetViews>
  <sheetFormatPr defaultColWidth="8.6640625" defaultRowHeight="14.4" x14ac:dyDescent="0.3"/>
  <cols>
    <col min="1" max="1" width="12" customWidth="1"/>
    <col min="2" max="2" width="25.33203125" customWidth="1"/>
    <col min="3" max="3" width="17.88671875" customWidth="1"/>
    <col min="4" max="4" width="53.109375" customWidth="1"/>
    <col min="5" max="5" width="14.109375" customWidth="1"/>
    <col min="7" max="7" width="14.33203125" customWidth="1"/>
    <col min="8" max="8" width="9.5546875" customWidth="1"/>
    <col min="9" max="9" width="8.6640625" style="3"/>
    <col min="10" max="10" width="8.109375" style="3" customWidth="1"/>
    <col min="14" max="14" width="9.109375" customWidth="1"/>
    <col min="16" max="16" width="9.109375" customWidth="1"/>
    <col min="17" max="17" width="12.109375" hidden="1" customWidth="1"/>
    <col min="18" max="18" width="10" customWidth="1"/>
    <col min="19" max="19" width="6.21875" customWidth="1"/>
    <col min="20" max="20" width="7" hidden="1" customWidth="1"/>
    <col min="21" max="21" width="12.5546875" hidden="1" customWidth="1"/>
    <col min="22" max="22" width="14.6640625" customWidth="1"/>
    <col min="23" max="23" width="16.88671875" style="4" customWidth="1"/>
    <col min="24" max="26" width="12" customWidth="1"/>
    <col min="27" max="27" width="14" customWidth="1"/>
    <col min="28" max="28" width="15" customWidth="1"/>
    <col min="29" max="29" width="46.21875" customWidth="1"/>
    <col min="30" max="30" width="76.44140625" customWidth="1"/>
  </cols>
  <sheetData>
    <row r="2" spans="1:30" s="5" customFormat="1" ht="60" customHeight="1" x14ac:dyDescent="0.3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46"/>
      <c r="Y2" s="46"/>
      <c r="Z2" s="46"/>
      <c r="AA2" s="46"/>
      <c r="AB2" s="46"/>
      <c r="AC2" s="46"/>
      <c r="AD2" s="46"/>
    </row>
    <row r="3" spans="1:30" ht="14.25" customHeight="1" x14ac:dyDescent="0.3">
      <c r="A3" s="47"/>
      <c r="B3" s="47"/>
      <c r="C3" s="47"/>
      <c r="D3" s="47"/>
      <c r="E3" s="47"/>
      <c r="F3" s="47"/>
      <c r="G3" s="47"/>
      <c r="H3" s="48"/>
      <c r="I3" s="48"/>
      <c r="J3" s="83" t="s">
        <v>1</v>
      </c>
      <c r="K3" s="83"/>
      <c r="L3" s="83"/>
      <c r="M3" s="83"/>
      <c r="N3" s="49"/>
      <c r="O3" s="47"/>
      <c r="P3" s="47"/>
      <c r="Q3" s="47"/>
      <c r="R3" s="47"/>
      <c r="S3" s="47"/>
      <c r="T3" s="47"/>
      <c r="U3" s="47"/>
      <c r="V3" s="50"/>
      <c r="W3" s="50"/>
      <c r="X3" s="47"/>
      <c r="Y3" s="47"/>
      <c r="Z3" s="47"/>
      <c r="AA3" s="47"/>
      <c r="AB3" s="47"/>
      <c r="AC3" s="47"/>
      <c r="AD3" s="47"/>
    </row>
    <row r="4" spans="1:30" ht="21.75" customHeight="1" x14ac:dyDescent="0.3">
      <c r="A4" s="51"/>
      <c r="B4" s="84" t="s">
        <v>2</v>
      </c>
      <c r="C4" s="85" t="s">
        <v>3</v>
      </c>
      <c r="D4" s="85" t="s">
        <v>4</v>
      </c>
      <c r="E4" s="84" t="s">
        <v>5</v>
      </c>
      <c r="F4" s="84" t="s">
        <v>6</v>
      </c>
      <c r="G4" s="84" t="s">
        <v>7</v>
      </c>
      <c r="H4" s="84" t="s">
        <v>8</v>
      </c>
      <c r="I4" s="85" t="s">
        <v>9</v>
      </c>
      <c r="J4" s="84" t="s">
        <v>10</v>
      </c>
      <c r="K4" s="84" t="s">
        <v>11</v>
      </c>
      <c r="L4" s="84" t="s">
        <v>12</v>
      </c>
      <c r="M4" s="84" t="s">
        <v>13</v>
      </c>
      <c r="N4" s="84" t="s">
        <v>14</v>
      </c>
      <c r="O4" s="83" t="s">
        <v>15</v>
      </c>
      <c r="P4" s="83"/>
      <c r="Q4" s="83"/>
      <c r="R4" s="83"/>
      <c r="S4" s="83"/>
      <c r="T4" s="83"/>
      <c r="U4" s="83"/>
      <c r="V4" s="52" t="s">
        <v>18</v>
      </c>
      <c r="W4" s="52" t="s">
        <v>19</v>
      </c>
      <c r="X4" s="52" t="s">
        <v>20</v>
      </c>
      <c r="Y4" s="53" t="s">
        <v>21</v>
      </c>
      <c r="Z4" s="53" t="s">
        <v>22</v>
      </c>
      <c r="AA4" s="53" t="s">
        <v>23</v>
      </c>
      <c r="AB4" s="53" t="s">
        <v>24</v>
      </c>
      <c r="AC4" s="85" t="s">
        <v>16</v>
      </c>
      <c r="AD4" s="84" t="s">
        <v>17</v>
      </c>
    </row>
    <row r="5" spans="1:30" ht="18" customHeight="1" x14ac:dyDescent="0.3">
      <c r="A5" s="54" t="s">
        <v>25</v>
      </c>
      <c r="B5" s="84"/>
      <c r="C5" s="84"/>
      <c r="D5" s="84"/>
      <c r="E5" s="84"/>
      <c r="F5" s="84"/>
      <c r="G5" s="84"/>
      <c r="H5" s="84"/>
      <c r="I5" s="85"/>
      <c r="J5" s="85"/>
      <c r="K5" s="85"/>
      <c r="L5" s="85"/>
      <c r="M5" s="85"/>
      <c r="N5" s="85"/>
      <c r="O5" s="83" t="s">
        <v>26</v>
      </c>
      <c r="P5" s="83"/>
      <c r="Q5" s="83"/>
      <c r="R5" s="83" t="s">
        <v>27</v>
      </c>
      <c r="S5" s="83"/>
      <c r="T5" s="83"/>
      <c r="U5" s="83"/>
      <c r="V5" s="55" t="s">
        <v>28</v>
      </c>
      <c r="W5" s="55" t="s">
        <v>28</v>
      </c>
      <c r="X5" s="55" t="s">
        <v>28</v>
      </c>
      <c r="Y5" s="56" t="s">
        <v>29</v>
      </c>
      <c r="Z5" s="56" t="s">
        <v>30</v>
      </c>
      <c r="AA5" s="56" t="s">
        <v>31</v>
      </c>
      <c r="AB5" s="56" t="s">
        <v>32</v>
      </c>
      <c r="AC5" s="85"/>
      <c r="AD5" s="85"/>
    </row>
    <row r="6" spans="1:30" ht="18" customHeight="1" x14ac:dyDescent="0.3">
      <c r="A6" s="57"/>
      <c r="B6" s="84"/>
      <c r="C6" s="84"/>
      <c r="D6" s="84"/>
      <c r="E6" s="84"/>
      <c r="F6" s="84"/>
      <c r="G6" s="84"/>
      <c r="H6" s="57"/>
      <c r="I6" s="85"/>
      <c r="J6" s="85"/>
      <c r="K6" s="85"/>
      <c r="L6" s="85"/>
      <c r="M6" s="85"/>
      <c r="N6" s="85"/>
      <c r="O6" s="83" t="s">
        <v>33</v>
      </c>
      <c r="P6" s="83"/>
      <c r="Q6" s="83"/>
      <c r="R6" s="83" t="s">
        <v>33</v>
      </c>
      <c r="S6" s="83"/>
      <c r="T6" s="83"/>
      <c r="U6" s="83"/>
      <c r="V6" s="58"/>
      <c r="W6" s="58"/>
      <c r="X6" s="58"/>
      <c r="Y6" s="56"/>
      <c r="Z6" s="56"/>
      <c r="AA6" s="56"/>
      <c r="AB6" s="56"/>
      <c r="AC6" s="85"/>
      <c r="AD6" s="85"/>
    </row>
    <row r="7" spans="1:30" ht="114.75" customHeight="1" x14ac:dyDescent="0.3">
      <c r="A7" s="59" t="s">
        <v>34</v>
      </c>
      <c r="B7" s="60">
        <v>46121</v>
      </c>
      <c r="C7" s="61">
        <v>1</v>
      </c>
      <c r="D7" s="61" t="s">
        <v>35</v>
      </c>
      <c r="E7" s="62">
        <v>22855</v>
      </c>
      <c r="F7" s="62">
        <v>24381</v>
      </c>
      <c r="G7" s="77">
        <v>1461148</v>
      </c>
      <c r="H7" s="61">
        <v>0</v>
      </c>
      <c r="I7" s="61" t="s">
        <v>36</v>
      </c>
      <c r="J7" s="61">
        <v>1</v>
      </c>
      <c r="K7" s="61">
        <v>3</v>
      </c>
      <c r="L7" s="61">
        <v>0</v>
      </c>
      <c r="M7" s="61">
        <v>95</v>
      </c>
      <c r="N7" s="61">
        <v>12</v>
      </c>
      <c r="O7" s="90">
        <v>40</v>
      </c>
      <c r="P7" s="90"/>
      <c r="Q7" s="90"/>
      <c r="R7" s="90">
        <v>93</v>
      </c>
      <c r="S7" s="90"/>
      <c r="T7" s="90"/>
      <c r="U7" s="90"/>
      <c r="V7" s="66">
        <v>3</v>
      </c>
      <c r="W7" s="66">
        <v>3</v>
      </c>
      <c r="X7" s="66">
        <v>4</v>
      </c>
      <c r="Y7" s="67">
        <f>IFERROR(ROUND(E7/N7,1),"-")</f>
        <v>1904.6</v>
      </c>
      <c r="Z7" s="68">
        <f>IFERROR(ROUND(E7/IF(ISNUMBER(O7),O7,SUBSTITUTE(O7,"%",""))*1,1),"-")</f>
        <v>571.4</v>
      </c>
      <c r="AA7" s="69">
        <f>IFERROR(ROUND(IF(ISNUMBER(O7),O7,SUBSTITUTE(O7,"%",""))*1/E7,4),"-")</f>
        <v>1.8E-3</v>
      </c>
      <c r="AB7" s="70">
        <f>IFERROR(ROUND(J7/60000*100,2),"-")</f>
        <v>0</v>
      </c>
      <c r="AC7" s="64" t="s">
        <v>37</v>
      </c>
      <c r="AD7" s="65" t="s">
        <v>103</v>
      </c>
    </row>
    <row r="8" spans="1:30" ht="114.75" customHeight="1" x14ac:dyDescent="0.3">
      <c r="A8" s="59" t="s">
        <v>38</v>
      </c>
      <c r="B8" s="60">
        <v>46121</v>
      </c>
      <c r="C8" s="61">
        <v>1</v>
      </c>
      <c r="D8" s="61" t="s">
        <v>35</v>
      </c>
      <c r="E8" s="62">
        <v>22860</v>
      </c>
      <c r="F8" s="63">
        <v>24498</v>
      </c>
      <c r="G8" s="76">
        <v>1470319</v>
      </c>
      <c r="H8" s="61">
        <v>0</v>
      </c>
      <c r="I8" s="61" t="s">
        <v>36</v>
      </c>
      <c r="J8" s="61">
        <v>3</v>
      </c>
      <c r="K8" s="61">
        <v>4</v>
      </c>
      <c r="L8" s="61">
        <v>0</v>
      </c>
      <c r="M8" s="61">
        <v>149</v>
      </c>
      <c r="N8" s="61">
        <v>12</v>
      </c>
      <c r="O8" s="90">
        <v>36</v>
      </c>
      <c r="P8" s="90"/>
      <c r="Q8" s="90"/>
      <c r="R8" s="90">
        <v>90</v>
      </c>
      <c r="S8" s="90"/>
      <c r="T8" s="90"/>
      <c r="U8" s="90"/>
      <c r="V8" s="66">
        <v>27</v>
      </c>
      <c r="W8" s="66">
        <v>38</v>
      </c>
      <c r="X8" s="66">
        <v>96</v>
      </c>
      <c r="Y8" s="67">
        <f>IFERROR(ROUND(E8/N8,1),"-")</f>
        <v>1905</v>
      </c>
      <c r="Z8" s="68">
        <f>IFERROR(ROUND(E8/IF(ISNUMBER(O8),O8,SUBSTITUTE(O8,"%",""))*1,1),"-")</f>
        <v>635</v>
      </c>
      <c r="AA8" s="69">
        <f>IFERROR(ROUND(IF(ISNUMBER(O8),O8,SUBSTITUTE(O8,"%",""))*1/E8,4),"-")</f>
        <v>1.6000000000000001E-3</v>
      </c>
      <c r="AB8" s="70">
        <f>IFERROR(ROUND(J8/60000*100,2),"-")</f>
        <v>0.01</v>
      </c>
      <c r="AC8" s="64" t="s">
        <v>39</v>
      </c>
      <c r="AD8" s="65" t="s">
        <v>103</v>
      </c>
    </row>
    <row r="9" spans="1:30" ht="91.5" customHeight="1" x14ac:dyDescent="0.3">
      <c r="A9" s="59" t="s">
        <v>40</v>
      </c>
      <c r="B9" s="60">
        <v>46121</v>
      </c>
      <c r="C9" s="61">
        <v>1</v>
      </c>
      <c r="D9" s="61" t="s">
        <v>35</v>
      </c>
      <c r="E9" s="62">
        <v>22760</v>
      </c>
      <c r="F9" s="63">
        <v>25448</v>
      </c>
      <c r="G9" s="77">
        <v>1527470</v>
      </c>
      <c r="H9" s="61">
        <v>0</v>
      </c>
      <c r="I9" s="61" t="s">
        <v>36</v>
      </c>
      <c r="J9" s="61">
        <v>5</v>
      </c>
      <c r="K9" s="75">
        <v>6</v>
      </c>
      <c r="L9" s="61">
        <v>0</v>
      </c>
      <c r="M9" s="61">
        <v>30</v>
      </c>
      <c r="N9" s="61">
        <v>12</v>
      </c>
      <c r="O9" s="91">
        <v>38</v>
      </c>
      <c r="P9" s="90"/>
      <c r="Q9" s="90"/>
      <c r="R9" s="90">
        <v>88</v>
      </c>
      <c r="S9" s="90"/>
      <c r="T9" s="90"/>
      <c r="U9" s="90"/>
      <c r="V9" s="66">
        <v>9</v>
      </c>
      <c r="W9" s="66">
        <v>10</v>
      </c>
      <c r="X9" s="66">
        <v>112</v>
      </c>
      <c r="Y9" s="67">
        <f>IFERROR(ROUND(E9/N9,1),"-")</f>
        <v>1896.7</v>
      </c>
      <c r="Z9" s="68">
        <f>IFERROR(ROUND(E9/IF(ISNUMBER(O9),O9,SUBSTITUTE(O9,"%",""))*1,1),"-")</f>
        <v>598.9</v>
      </c>
      <c r="AA9" s="69">
        <f>IFERROR(ROUND(IF(ISNUMBER(O9),O9,SUBSTITUTE(O9,"%",""))*1/E9,4),"-")</f>
        <v>1.6999999999999999E-3</v>
      </c>
      <c r="AB9" s="70">
        <f>IFERROR(ROUND(J9/60000*100,2),"-")</f>
        <v>0.01</v>
      </c>
      <c r="AC9" s="64" t="s">
        <v>39</v>
      </c>
      <c r="AD9" s="65"/>
    </row>
    <row r="14" spans="1:30" ht="41.25" customHeight="1" x14ac:dyDescent="0.3">
      <c r="A14" s="86" t="s">
        <v>41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71"/>
      <c r="Y14" s="71"/>
      <c r="Z14" s="71"/>
      <c r="AA14" s="71"/>
      <c r="AB14" s="71"/>
      <c r="AC14" s="71"/>
      <c r="AD14" s="71"/>
    </row>
    <row r="15" spans="1:30" ht="14.25" customHeight="1" x14ac:dyDescent="0.3">
      <c r="H15" s="3"/>
      <c r="J15" s="87" t="s">
        <v>1</v>
      </c>
      <c r="K15" s="87"/>
      <c r="L15" s="87"/>
      <c r="M15" s="87"/>
      <c r="N15" s="6"/>
      <c r="V15" s="4"/>
    </row>
    <row r="16" spans="1:30" ht="14.25" customHeight="1" x14ac:dyDescent="0.3">
      <c r="A16" s="7"/>
      <c r="B16" s="88" t="s">
        <v>2</v>
      </c>
      <c r="C16" s="89" t="s">
        <v>3</v>
      </c>
      <c r="D16" s="89" t="s">
        <v>4</v>
      </c>
      <c r="E16" s="88" t="s">
        <v>5</v>
      </c>
      <c r="F16" s="88" t="s">
        <v>6</v>
      </c>
      <c r="G16" s="88" t="s">
        <v>7</v>
      </c>
      <c r="H16" s="88" t="s">
        <v>8</v>
      </c>
      <c r="I16" s="89" t="s">
        <v>9</v>
      </c>
      <c r="J16" s="88" t="s">
        <v>10</v>
      </c>
      <c r="K16" s="88" t="s">
        <v>11</v>
      </c>
      <c r="L16" s="88" t="s">
        <v>12</v>
      </c>
      <c r="M16" s="88" t="s">
        <v>13</v>
      </c>
      <c r="N16" s="88" t="s">
        <v>14</v>
      </c>
      <c r="O16" s="87" t="s">
        <v>15</v>
      </c>
      <c r="P16" s="87"/>
      <c r="Q16" s="87"/>
      <c r="R16" s="87"/>
      <c r="S16" s="87"/>
      <c r="T16" s="87"/>
      <c r="U16" s="87"/>
      <c r="V16" s="8" t="s">
        <v>18</v>
      </c>
      <c r="W16" s="8" t="s">
        <v>19</v>
      </c>
      <c r="X16" s="8" t="s">
        <v>20</v>
      </c>
      <c r="Y16" s="9" t="s">
        <v>21</v>
      </c>
      <c r="Z16" s="9" t="s">
        <v>22</v>
      </c>
      <c r="AA16" s="9" t="s">
        <v>23</v>
      </c>
      <c r="AB16" s="9" t="s">
        <v>24</v>
      </c>
      <c r="AC16" s="89" t="s">
        <v>16</v>
      </c>
      <c r="AD16" s="88" t="s">
        <v>17</v>
      </c>
    </row>
    <row r="17" spans="1:30" ht="14.25" customHeight="1" x14ac:dyDescent="0.3">
      <c r="A17" s="10" t="s">
        <v>25</v>
      </c>
      <c r="B17" s="88"/>
      <c r="C17" s="88"/>
      <c r="D17" s="88"/>
      <c r="E17" s="88"/>
      <c r="F17" s="88"/>
      <c r="G17" s="88"/>
      <c r="H17" s="88"/>
      <c r="I17" s="89"/>
      <c r="J17" s="89"/>
      <c r="K17" s="89"/>
      <c r="L17" s="89"/>
      <c r="M17" s="89"/>
      <c r="N17" s="89"/>
      <c r="O17" s="87" t="s">
        <v>26</v>
      </c>
      <c r="P17" s="87"/>
      <c r="Q17" s="87"/>
      <c r="R17" s="87" t="s">
        <v>27</v>
      </c>
      <c r="S17" s="87"/>
      <c r="T17" s="87"/>
      <c r="U17" s="87"/>
      <c r="V17" s="11" t="s">
        <v>28</v>
      </c>
      <c r="W17" s="11" t="s">
        <v>28</v>
      </c>
      <c r="X17" s="11" t="s">
        <v>28</v>
      </c>
      <c r="Y17" s="12" t="s">
        <v>29</v>
      </c>
      <c r="Z17" s="12" t="s">
        <v>30</v>
      </c>
      <c r="AA17" s="12" t="s">
        <v>31</v>
      </c>
      <c r="AB17" s="12" t="s">
        <v>32</v>
      </c>
      <c r="AC17" s="89"/>
      <c r="AD17" s="89"/>
    </row>
    <row r="18" spans="1:30" ht="14.25" customHeight="1" x14ac:dyDescent="0.3">
      <c r="A18" s="13"/>
      <c r="B18" s="88"/>
      <c r="C18" s="88"/>
      <c r="D18" s="88"/>
      <c r="E18" s="88"/>
      <c r="F18" s="88"/>
      <c r="G18" s="88"/>
      <c r="H18" s="13"/>
      <c r="I18" s="89"/>
      <c r="J18" s="89"/>
      <c r="K18" s="89"/>
      <c r="L18" s="89"/>
      <c r="M18" s="89"/>
      <c r="N18" s="89"/>
      <c r="O18" s="87" t="s">
        <v>33</v>
      </c>
      <c r="P18" s="87"/>
      <c r="Q18" s="87"/>
      <c r="R18" s="87" t="s">
        <v>33</v>
      </c>
      <c r="S18" s="87"/>
      <c r="T18" s="87"/>
      <c r="U18" s="87"/>
      <c r="V18" s="14"/>
      <c r="W18" s="14"/>
      <c r="X18" s="14"/>
      <c r="Y18" s="15"/>
      <c r="Z18" s="15"/>
      <c r="AA18" s="15"/>
      <c r="AB18" s="15"/>
      <c r="AC18" s="89"/>
      <c r="AD18" s="89"/>
    </row>
    <row r="19" spans="1:30" ht="186.75" customHeight="1" x14ac:dyDescent="0.3">
      <c r="A19" s="16" t="s">
        <v>34</v>
      </c>
      <c r="B19" s="17">
        <v>46121</v>
      </c>
      <c r="C19" s="2">
        <v>1</v>
      </c>
      <c r="D19" s="2" t="s">
        <v>42</v>
      </c>
      <c r="E19" s="18">
        <v>5360</v>
      </c>
      <c r="F19" s="19" t="s">
        <v>43</v>
      </c>
      <c r="G19" s="78">
        <v>335728</v>
      </c>
      <c r="H19" s="2">
        <v>0</v>
      </c>
      <c r="I19" s="2" t="s">
        <v>102</v>
      </c>
      <c r="J19" s="2">
        <v>8</v>
      </c>
      <c r="K19" s="2">
        <v>17</v>
      </c>
      <c r="L19" s="2">
        <v>1</v>
      </c>
      <c r="M19" s="2">
        <v>661</v>
      </c>
      <c r="N19" s="2">
        <v>12</v>
      </c>
      <c r="O19" s="92">
        <v>0.28999999999999998</v>
      </c>
      <c r="P19" s="93"/>
      <c r="Q19" s="93"/>
      <c r="R19" s="93" t="s">
        <v>44</v>
      </c>
      <c r="S19" s="93"/>
      <c r="T19" s="93"/>
      <c r="U19" s="93"/>
      <c r="V19" s="22">
        <v>13</v>
      </c>
      <c r="W19" s="22">
        <v>16</v>
      </c>
      <c r="X19" s="22">
        <v>24</v>
      </c>
      <c r="Y19" s="23">
        <f>IFERROR(ROUND(E19/N19,1),"-")</f>
        <v>446.7</v>
      </c>
      <c r="Z19" s="24">
        <f>IFERROR(ROUND(E19/IF(ISNUMBER(O19),O19,SUBSTITUTE(O19,"%",""))*1,1),"-")</f>
        <v>18482.8</v>
      </c>
      <c r="AA19" s="25">
        <f>IFERROR(ROUND(IF(ISNUMBER(O19),O19,SUBSTITUTE(O19,"%",""))*1/E19,4),"-")</f>
        <v>1E-4</v>
      </c>
      <c r="AB19" s="26">
        <f>IFERROR(ROUND(J19/60000*100,2),"-")</f>
        <v>0.01</v>
      </c>
      <c r="AC19" s="20" t="s">
        <v>45</v>
      </c>
      <c r="AD19" s="21"/>
    </row>
    <row r="20" spans="1:30" ht="76.5" customHeight="1" x14ac:dyDescent="0.3">
      <c r="A20" s="16" t="s">
        <v>38</v>
      </c>
      <c r="B20" s="17">
        <v>46121</v>
      </c>
      <c r="C20" s="2">
        <v>1</v>
      </c>
      <c r="D20" s="27" t="s">
        <v>42</v>
      </c>
      <c r="E20" s="18">
        <v>4650</v>
      </c>
      <c r="F20" s="19">
        <v>4704</v>
      </c>
      <c r="G20" s="78">
        <v>282424</v>
      </c>
      <c r="H20" s="2">
        <v>0</v>
      </c>
      <c r="I20" s="2" t="s">
        <v>102</v>
      </c>
      <c r="J20" s="2">
        <v>17</v>
      </c>
      <c r="K20" s="2">
        <v>5</v>
      </c>
      <c r="L20" s="2">
        <v>1</v>
      </c>
      <c r="M20" s="2">
        <v>2301</v>
      </c>
      <c r="N20" s="2">
        <v>12</v>
      </c>
      <c r="O20" s="92">
        <v>0.15</v>
      </c>
      <c r="P20" s="93"/>
      <c r="Q20" s="93"/>
      <c r="R20" s="93" t="s">
        <v>46</v>
      </c>
      <c r="S20" s="93"/>
      <c r="T20" s="93"/>
      <c r="U20" s="93"/>
      <c r="V20" s="22">
        <v>27</v>
      </c>
      <c r="W20" s="22">
        <v>38</v>
      </c>
      <c r="X20" s="22">
        <v>96</v>
      </c>
      <c r="Y20" s="23">
        <f>IFERROR(ROUND(E20/N20,1),"-")</f>
        <v>387.5</v>
      </c>
      <c r="Z20" s="24">
        <f>IFERROR(ROUND(E20/IF(ISNUMBER(O20),O20,SUBSTITUTE(O20,"%",""))*1,1),"-")</f>
        <v>31000</v>
      </c>
      <c r="AA20" s="25">
        <f>IFERROR(ROUND(IF(ISNUMBER(O20),O20,SUBSTITUTE(O20,"%",""))*1/E20,4),"-")</f>
        <v>0</v>
      </c>
      <c r="AB20" s="26">
        <f>IFERROR(ROUND(J20/60000*100,2),"-")</f>
        <v>0.03</v>
      </c>
      <c r="AC20" s="20"/>
      <c r="AD20" s="21"/>
    </row>
    <row r="21" spans="1:30" ht="78" customHeight="1" x14ac:dyDescent="0.3">
      <c r="A21" s="16" t="s">
        <v>40</v>
      </c>
      <c r="B21" s="17">
        <v>46121</v>
      </c>
      <c r="C21" s="2">
        <v>1</v>
      </c>
      <c r="D21" s="2" t="s">
        <v>42</v>
      </c>
      <c r="E21" s="18">
        <v>4456</v>
      </c>
      <c r="F21" s="19">
        <v>5688</v>
      </c>
      <c r="G21" s="78">
        <v>341689</v>
      </c>
      <c r="H21" s="2">
        <v>0</v>
      </c>
      <c r="I21" s="2" t="s">
        <v>102</v>
      </c>
      <c r="J21" s="2">
        <v>26</v>
      </c>
      <c r="K21" s="2">
        <v>17</v>
      </c>
      <c r="L21" s="2">
        <v>1</v>
      </c>
      <c r="M21" s="2">
        <v>636</v>
      </c>
      <c r="N21" s="2">
        <v>12</v>
      </c>
      <c r="O21" s="92">
        <v>0.22</v>
      </c>
      <c r="P21" s="93"/>
      <c r="Q21" s="93"/>
      <c r="R21" s="92" t="s">
        <v>47</v>
      </c>
      <c r="S21" s="92"/>
      <c r="T21" s="92"/>
      <c r="U21" s="92"/>
      <c r="V21" s="22">
        <v>56</v>
      </c>
      <c r="W21" s="22">
        <v>81</v>
      </c>
      <c r="X21" s="22">
        <v>166</v>
      </c>
      <c r="Y21" s="23">
        <f>IFERROR(ROUND(E21/N21,1),"-")</f>
        <v>371.3</v>
      </c>
      <c r="Z21" s="24">
        <f>IFERROR(ROUND(E21/IF(ISNUMBER(O21),O21,SUBSTITUTE(O21,"%",""))*1,1),"-")</f>
        <v>20254.5</v>
      </c>
      <c r="AA21" s="25">
        <f>IFERROR(ROUND(IF(ISNUMBER(O21),O21,SUBSTITUTE(O21,"%",""))*1/E21,4),"-")</f>
        <v>0</v>
      </c>
      <c r="AB21" s="26">
        <f>IFERROR(ROUND(J21/60000*100,2),"-")</f>
        <v>0.04</v>
      </c>
      <c r="AC21" s="20"/>
      <c r="AD21" s="21"/>
    </row>
    <row r="24" spans="1:30" ht="36" customHeight="1" x14ac:dyDescent="0.3">
      <c r="A24" s="95" t="s">
        <v>49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</row>
    <row r="25" spans="1:30" ht="15" customHeight="1" x14ac:dyDescent="0.3">
      <c r="J25" s="96" t="s">
        <v>1</v>
      </c>
      <c r="K25" s="96"/>
      <c r="L25" s="96"/>
      <c r="M25" s="96"/>
    </row>
    <row r="26" spans="1:30" ht="18" customHeight="1" x14ac:dyDescent="0.3">
      <c r="A26" s="94" t="s">
        <v>25</v>
      </c>
      <c r="B26" s="94" t="s">
        <v>2</v>
      </c>
      <c r="C26" s="94" t="s">
        <v>3</v>
      </c>
      <c r="D26" s="94" t="s">
        <v>4</v>
      </c>
      <c r="E26" s="94" t="s">
        <v>5</v>
      </c>
      <c r="F26" s="94" t="s">
        <v>6</v>
      </c>
      <c r="G26" s="94" t="s">
        <v>7</v>
      </c>
      <c r="H26" s="79" t="s">
        <v>8</v>
      </c>
      <c r="I26" s="94" t="s">
        <v>9</v>
      </c>
      <c r="J26" s="94" t="s">
        <v>10</v>
      </c>
      <c r="K26" s="94" t="s">
        <v>11</v>
      </c>
      <c r="L26" s="94" t="s">
        <v>12</v>
      </c>
      <c r="M26" s="94" t="s">
        <v>13</v>
      </c>
      <c r="N26" s="94" t="s">
        <v>14</v>
      </c>
      <c r="O26" s="94" t="s">
        <v>15</v>
      </c>
      <c r="P26" s="94"/>
      <c r="Q26" s="94"/>
      <c r="R26" s="94"/>
      <c r="S26" s="94"/>
      <c r="T26" s="94"/>
      <c r="U26" s="94"/>
      <c r="V26" s="8" t="s">
        <v>18</v>
      </c>
      <c r="W26" s="8" t="s">
        <v>19</v>
      </c>
      <c r="X26" s="8" t="s">
        <v>20</v>
      </c>
      <c r="Y26" s="9" t="s">
        <v>21</v>
      </c>
      <c r="Z26" s="9" t="s">
        <v>22</v>
      </c>
      <c r="AA26" s="9" t="s">
        <v>23</v>
      </c>
      <c r="AB26" s="9" t="s">
        <v>24</v>
      </c>
      <c r="AC26" s="94" t="s">
        <v>16</v>
      </c>
      <c r="AD26" s="94" t="s">
        <v>17</v>
      </c>
    </row>
    <row r="27" spans="1:30" ht="32.4" customHeight="1" x14ac:dyDescent="0.3">
      <c r="A27" s="94"/>
      <c r="B27" s="94"/>
      <c r="C27" s="94"/>
      <c r="D27" s="94"/>
      <c r="E27" s="94"/>
      <c r="F27" s="94"/>
      <c r="G27" s="94"/>
      <c r="H27" s="80"/>
      <c r="I27" s="94"/>
      <c r="J27" s="94"/>
      <c r="K27" s="94"/>
      <c r="L27" s="94"/>
      <c r="M27" s="94"/>
      <c r="N27" s="94"/>
      <c r="O27" s="94" t="s">
        <v>26</v>
      </c>
      <c r="P27" s="94"/>
      <c r="Q27" s="94"/>
      <c r="R27" s="94" t="s">
        <v>27</v>
      </c>
      <c r="S27" s="94"/>
      <c r="T27" s="94"/>
      <c r="U27" s="94"/>
      <c r="V27" s="11" t="s">
        <v>28</v>
      </c>
      <c r="W27" s="11" t="s">
        <v>28</v>
      </c>
      <c r="X27" s="11" t="s">
        <v>28</v>
      </c>
      <c r="Y27" s="12" t="s">
        <v>29</v>
      </c>
      <c r="Z27" s="12" t="s">
        <v>30</v>
      </c>
      <c r="AA27" s="12" t="s">
        <v>31</v>
      </c>
      <c r="AB27" s="12" t="s">
        <v>32</v>
      </c>
      <c r="AC27" s="94"/>
      <c r="AD27" s="94"/>
    </row>
    <row r="28" spans="1:30" ht="18" customHeight="1" x14ac:dyDescent="0.3">
      <c r="A28" s="94"/>
      <c r="B28" s="94"/>
      <c r="C28" s="94"/>
      <c r="D28" s="94"/>
      <c r="E28" s="94"/>
      <c r="F28" s="94"/>
      <c r="G28" s="94"/>
      <c r="H28" s="81"/>
      <c r="I28" s="94"/>
      <c r="J28" s="94"/>
      <c r="K28" s="94"/>
      <c r="L28" s="94"/>
      <c r="M28" s="94"/>
      <c r="N28" s="94"/>
      <c r="O28" s="94" t="s">
        <v>33</v>
      </c>
      <c r="P28" s="94"/>
      <c r="Q28" s="94"/>
      <c r="R28" s="94" t="s">
        <v>33</v>
      </c>
      <c r="S28" s="94"/>
      <c r="T28" s="94"/>
      <c r="U28" s="94"/>
      <c r="V28" s="14"/>
      <c r="W28" s="14"/>
      <c r="X28" s="14"/>
      <c r="Y28" s="15"/>
      <c r="Z28" s="15"/>
      <c r="AA28" s="15"/>
      <c r="AB28" s="15"/>
      <c r="AC28" s="94"/>
      <c r="AD28" s="94"/>
    </row>
    <row r="29" spans="1:30" ht="79.5" customHeight="1" x14ac:dyDescent="0.3">
      <c r="A29" s="1" t="s">
        <v>34</v>
      </c>
      <c r="B29" s="72">
        <v>46122</v>
      </c>
      <c r="C29" s="1">
        <v>1</v>
      </c>
      <c r="D29" s="1" t="s">
        <v>101</v>
      </c>
      <c r="E29" s="73">
        <v>13094</v>
      </c>
      <c r="F29" s="1">
        <v>13450</v>
      </c>
      <c r="G29" s="73">
        <v>805984</v>
      </c>
      <c r="H29" s="1">
        <v>0</v>
      </c>
      <c r="I29" s="74" t="s">
        <v>100</v>
      </c>
      <c r="J29" s="1">
        <v>3</v>
      </c>
      <c r="K29" s="1">
        <v>3</v>
      </c>
      <c r="L29" s="1">
        <v>0</v>
      </c>
      <c r="M29" s="1">
        <v>103</v>
      </c>
      <c r="N29" s="1">
        <v>12</v>
      </c>
      <c r="O29" s="97">
        <v>0.3</v>
      </c>
      <c r="P29" s="98"/>
      <c r="Q29" s="1"/>
      <c r="R29" s="97">
        <v>0.88</v>
      </c>
      <c r="S29" s="98"/>
      <c r="T29" s="1"/>
      <c r="U29" s="1"/>
      <c r="V29" s="22">
        <v>6</v>
      </c>
      <c r="W29" s="22">
        <v>8</v>
      </c>
      <c r="X29" s="22">
        <v>13</v>
      </c>
      <c r="Y29" s="23">
        <f>IFERROR(ROUND(E29/N29,1),"-")</f>
        <v>1091.2</v>
      </c>
      <c r="Z29" s="24">
        <f>IFERROR(ROUND(E29/IF(ISNUMBER(O29),O29,SUBSTITUTE(O29,"%",""))*1,1),"-")</f>
        <v>43646.7</v>
      </c>
      <c r="AA29" s="25">
        <f>IFERROR(ROUND(IF(ISNUMBER(O29),O29,SUBSTITUTE(O29,"%",""))*1/E29,4),"-")</f>
        <v>0</v>
      </c>
      <c r="AB29" s="26">
        <f>IFERROR(ROUND(J29/60000*100,2),"-")</f>
        <v>0.01</v>
      </c>
      <c r="AC29" s="28"/>
      <c r="AD29" s="1"/>
    </row>
    <row r="30" spans="1:30" ht="79.5" customHeight="1" x14ac:dyDescent="0.3">
      <c r="A30" s="1" t="s">
        <v>38</v>
      </c>
      <c r="B30" s="72">
        <v>46122</v>
      </c>
      <c r="C30" s="1">
        <v>1</v>
      </c>
      <c r="D30" s="1" t="s">
        <v>101</v>
      </c>
      <c r="E30" s="1">
        <v>12711</v>
      </c>
      <c r="F30" s="1">
        <v>14106</v>
      </c>
      <c r="G30" s="73">
        <v>846785</v>
      </c>
      <c r="H30" s="1">
        <v>0</v>
      </c>
      <c r="I30" s="1" t="s">
        <v>100</v>
      </c>
      <c r="J30" s="1">
        <v>5</v>
      </c>
      <c r="K30" s="1">
        <v>3</v>
      </c>
      <c r="L30" s="1">
        <v>0</v>
      </c>
      <c r="M30" s="1">
        <v>45405</v>
      </c>
      <c r="N30" s="1">
        <v>12</v>
      </c>
      <c r="O30" s="97">
        <v>0.33</v>
      </c>
      <c r="P30" s="98"/>
      <c r="Q30" s="1"/>
      <c r="R30" s="97">
        <v>0.92</v>
      </c>
      <c r="S30" s="98"/>
      <c r="T30" s="1"/>
      <c r="U30" s="1"/>
      <c r="V30" s="22">
        <v>8</v>
      </c>
      <c r="W30" s="22">
        <v>11</v>
      </c>
      <c r="X30" s="22">
        <v>19</v>
      </c>
      <c r="Y30" s="23">
        <f>IFERROR(ROUND(E30/N30,1),"-")</f>
        <v>1059.3</v>
      </c>
      <c r="Z30" s="24">
        <f>IFERROR(ROUND(E30/IF(ISNUMBER(O30),O30,SUBSTITUTE(O30,"%",""))*1,1),"-")</f>
        <v>38518.199999999997</v>
      </c>
      <c r="AA30" s="25">
        <f>IFERROR(ROUND(IF(ISNUMBER(O30),O30,SUBSTITUTE(O30,"%",""))*1/E30,4),"-")</f>
        <v>0</v>
      </c>
      <c r="AB30" s="26">
        <f>IFERROR(ROUND(J30/60000*100,2),"-")</f>
        <v>0.01</v>
      </c>
      <c r="AC30" s="28"/>
      <c r="AD30" s="1"/>
    </row>
    <row r="31" spans="1:30" ht="79.5" customHeight="1" x14ac:dyDescent="0.3">
      <c r="A31" s="1" t="s">
        <v>40</v>
      </c>
      <c r="B31" s="72">
        <v>46122</v>
      </c>
      <c r="C31" s="1">
        <v>1</v>
      </c>
      <c r="D31" s="1" t="s">
        <v>101</v>
      </c>
      <c r="E31" s="1">
        <v>13185</v>
      </c>
      <c r="F31" s="1">
        <v>14647</v>
      </c>
      <c r="G31" s="73">
        <v>879418</v>
      </c>
      <c r="H31" s="1">
        <v>0</v>
      </c>
      <c r="I31" s="1" t="s">
        <v>100</v>
      </c>
      <c r="J31" s="1">
        <v>10</v>
      </c>
      <c r="K31" s="1">
        <v>3</v>
      </c>
      <c r="L31" s="1">
        <v>0</v>
      </c>
      <c r="M31" s="1">
        <v>49061</v>
      </c>
      <c r="N31" s="1">
        <v>12</v>
      </c>
      <c r="O31" s="97">
        <v>0.34</v>
      </c>
      <c r="P31" s="98"/>
      <c r="Q31" s="1"/>
      <c r="R31" s="97">
        <v>0.95</v>
      </c>
      <c r="S31" s="98"/>
      <c r="T31" s="1"/>
      <c r="U31" s="1"/>
      <c r="V31" s="22">
        <v>9</v>
      </c>
      <c r="W31" s="22">
        <v>12</v>
      </c>
      <c r="X31" s="22">
        <v>20</v>
      </c>
      <c r="Y31" s="23">
        <f>IFERROR(ROUND(E31/N31,1),"-")</f>
        <v>1098.8</v>
      </c>
      <c r="Z31" s="24">
        <f>IFERROR(ROUND(E31/IF(ISNUMBER(O31),O31,SUBSTITUTE(O31,"%",""))*1,1),"-")</f>
        <v>38779.4</v>
      </c>
      <c r="AA31" s="25">
        <f>IFERROR(ROUND(IF(ISNUMBER(O31),O31,SUBSTITUTE(O31,"%",""))*1/E31,4),"-")</f>
        <v>0</v>
      </c>
      <c r="AB31" s="26">
        <f>IFERROR(ROUND(J31/60000*100,2),"-")</f>
        <v>0.02</v>
      </c>
      <c r="AC31" s="28"/>
      <c r="AD31" s="1"/>
    </row>
  </sheetData>
  <mergeCells count="85">
    <mergeCell ref="R29:S29"/>
    <mergeCell ref="R30:S30"/>
    <mergeCell ref="R31:S31"/>
    <mergeCell ref="O29:P29"/>
    <mergeCell ref="O30:P30"/>
    <mergeCell ref="O31:P31"/>
    <mergeCell ref="A24:W24"/>
    <mergeCell ref="J25:M25"/>
    <mergeCell ref="A26:A28"/>
    <mergeCell ref="B26:B28"/>
    <mergeCell ref="C26:C28"/>
    <mergeCell ref="D26:D28"/>
    <mergeCell ref="E26:E28"/>
    <mergeCell ref="F26:F28"/>
    <mergeCell ref="G26:G28"/>
    <mergeCell ref="I26:I28"/>
    <mergeCell ref="J26:J28"/>
    <mergeCell ref="K26:K28"/>
    <mergeCell ref="L26:L28"/>
    <mergeCell ref="M26:M28"/>
    <mergeCell ref="N26:N28"/>
    <mergeCell ref="O26:U26"/>
    <mergeCell ref="AC26:AC28"/>
    <mergeCell ref="AD26:AD28"/>
    <mergeCell ref="O27:Q27"/>
    <mergeCell ref="R27:U27"/>
    <mergeCell ref="O28:Q28"/>
    <mergeCell ref="R28:U28"/>
    <mergeCell ref="AC16:AC18"/>
    <mergeCell ref="AD16:AD18"/>
    <mergeCell ref="O17:Q17"/>
    <mergeCell ref="R17:U17"/>
    <mergeCell ref="O18:Q18"/>
    <mergeCell ref="R18:U18"/>
    <mergeCell ref="O19:Q19"/>
    <mergeCell ref="R19:U19"/>
    <mergeCell ref="O20:Q20"/>
    <mergeCell ref="R20:U20"/>
    <mergeCell ref="O21:Q21"/>
    <mergeCell ref="R21:U21"/>
    <mergeCell ref="O7:Q7"/>
    <mergeCell ref="R7:U7"/>
    <mergeCell ref="O8:Q8"/>
    <mergeCell ref="R8:U8"/>
    <mergeCell ref="O9:Q9"/>
    <mergeCell ref="R9:U9"/>
    <mergeCell ref="A14:W14"/>
    <mergeCell ref="J15:M15"/>
    <mergeCell ref="B16:B18"/>
    <mergeCell ref="C16:C18"/>
    <mergeCell ref="D16:D18"/>
    <mergeCell ref="E16:E18"/>
    <mergeCell ref="F16:F18"/>
    <mergeCell ref="G16:G18"/>
    <mergeCell ref="H16:H17"/>
    <mergeCell ref="I16:I18"/>
    <mergeCell ref="J16:J18"/>
    <mergeCell ref="K16:K18"/>
    <mergeCell ref="L16:L18"/>
    <mergeCell ref="M16:M18"/>
    <mergeCell ref="N16:N18"/>
    <mergeCell ref="O16:U16"/>
    <mergeCell ref="AC4:AC6"/>
    <mergeCell ref="AD4:AD6"/>
    <mergeCell ref="O5:Q5"/>
    <mergeCell ref="R5:U5"/>
    <mergeCell ref="O6:Q6"/>
    <mergeCell ref="R6:U6"/>
    <mergeCell ref="O4:U4"/>
    <mergeCell ref="H26:H28"/>
    <mergeCell ref="A2:W2"/>
    <mergeCell ref="J3:M3"/>
    <mergeCell ref="B4:B6"/>
    <mergeCell ref="C4:C6"/>
    <mergeCell ref="D4:D6"/>
    <mergeCell ref="E4:E6"/>
    <mergeCell ref="F4:F6"/>
    <mergeCell ref="G4:G6"/>
    <mergeCell ref="H4:H5"/>
    <mergeCell ref="I4:I6"/>
    <mergeCell ref="J4:J6"/>
    <mergeCell ref="K4:K6"/>
    <mergeCell ref="L4:L6"/>
    <mergeCell ref="M4:M6"/>
    <mergeCell ref="N4:N6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topLeftCell="E10" zoomScale="85" zoomScaleNormal="85" workbookViewId="0">
      <selection activeCell="F38" sqref="F38"/>
    </sheetView>
  </sheetViews>
  <sheetFormatPr defaultColWidth="8.6640625" defaultRowHeight="14.4" x14ac:dyDescent="0.3"/>
  <cols>
    <col min="1" max="1" width="26.5546875" customWidth="1"/>
    <col min="2" max="2" width="14" customWidth="1"/>
    <col min="3" max="3" width="12" customWidth="1"/>
    <col min="4" max="4" width="20" customWidth="1"/>
    <col min="5" max="5" width="10" customWidth="1"/>
    <col min="6" max="6" width="16" customWidth="1"/>
    <col min="7" max="7" width="15" customWidth="1"/>
    <col min="8" max="8" width="58.21875" customWidth="1"/>
    <col min="11" max="11" width="19.33203125" customWidth="1"/>
    <col min="12" max="12" width="13.109375" customWidth="1"/>
    <col min="13" max="13" width="15.6640625" customWidth="1"/>
    <col min="14" max="14" width="15.77734375" customWidth="1"/>
    <col min="15" max="15" width="14.5546875" customWidth="1"/>
    <col min="16" max="16" width="13.77734375" customWidth="1"/>
    <col min="17" max="17" width="16.5546875" customWidth="1"/>
    <col min="18" max="18" width="46" customWidth="1"/>
  </cols>
  <sheetData>
    <row r="1" spans="1:18" ht="27.75" customHeight="1" x14ac:dyDescent="0.3">
      <c r="A1" s="99" t="s">
        <v>50</v>
      </c>
      <c r="B1" s="99"/>
      <c r="C1" s="99"/>
      <c r="D1" s="99"/>
      <c r="E1" s="99"/>
      <c r="F1" s="99"/>
      <c r="G1" s="99"/>
      <c r="H1" s="99"/>
    </row>
    <row r="2" spans="1:18" ht="15" customHeight="1" x14ac:dyDescent="0.3">
      <c r="A2" s="100" t="s">
        <v>51</v>
      </c>
      <c r="B2" s="100"/>
      <c r="C2" s="100"/>
      <c r="D2" s="100"/>
      <c r="E2" s="100"/>
      <c r="F2" s="100"/>
      <c r="G2" s="100"/>
      <c r="H2" s="100"/>
      <c r="K2" s="100" t="s">
        <v>51</v>
      </c>
      <c r="L2" s="100"/>
      <c r="M2" s="100"/>
      <c r="N2" s="100"/>
      <c r="O2" s="100"/>
      <c r="P2" s="100"/>
      <c r="Q2" s="100"/>
      <c r="R2" s="100"/>
    </row>
    <row r="3" spans="1:18" ht="15" customHeight="1" x14ac:dyDescent="0.3">
      <c r="A3" s="29" t="s">
        <v>52</v>
      </c>
      <c r="B3" s="101" t="s">
        <v>53</v>
      </c>
      <c r="C3" s="101"/>
      <c r="D3" s="101"/>
      <c r="E3" s="101"/>
      <c r="F3" s="101"/>
      <c r="G3" s="101"/>
      <c r="H3" s="101"/>
      <c r="K3" s="29" t="s">
        <v>52</v>
      </c>
      <c r="L3" s="101" t="s">
        <v>54</v>
      </c>
      <c r="M3" s="101"/>
      <c r="N3" s="101"/>
      <c r="O3" s="101"/>
      <c r="P3" s="101"/>
      <c r="Q3" s="101"/>
      <c r="R3" s="101"/>
    </row>
    <row r="4" spans="1:18" ht="15" customHeight="1" x14ac:dyDescent="0.3">
      <c r="A4" s="29" t="s">
        <v>55</v>
      </c>
      <c r="B4" s="101" t="s">
        <v>56</v>
      </c>
      <c r="C4" s="101"/>
      <c r="D4" s="101"/>
      <c r="E4" s="101"/>
      <c r="F4" s="101"/>
      <c r="G4" s="101"/>
      <c r="H4" s="101"/>
      <c r="K4" s="29" t="s">
        <v>55</v>
      </c>
      <c r="L4" s="101" t="s">
        <v>57</v>
      </c>
      <c r="M4" s="101"/>
      <c r="N4" s="101"/>
      <c r="O4" s="101"/>
      <c r="P4" s="101"/>
      <c r="Q4" s="101"/>
      <c r="R4" s="101"/>
    </row>
    <row r="5" spans="1:18" ht="15" customHeight="1" x14ac:dyDescent="0.3">
      <c r="A5" s="29" t="s">
        <v>58</v>
      </c>
      <c r="B5" s="102" t="s">
        <v>59</v>
      </c>
      <c r="C5" s="102"/>
      <c r="D5" s="102"/>
      <c r="E5" s="102"/>
      <c r="F5" s="102"/>
      <c r="G5" s="102"/>
      <c r="H5" s="102"/>
      <c r="K5" s="29" t="s">
        <v>58</v>
      </c>
      <c r="L5" s="101" t="s">
        <v>60</v>
      </c>
      <c r="M5" s="101"/>
      <c r="N5" s="101"/>
      <c r="O5" s="101"/>
      <c r="P5" s="101"/>
      <c r="Q5" s="101"/>
      <c r="R5" s="101"/>
    </row>
    <row r="6" spans="1:18" ht="15" customHeight="1" x14ac:dyDescent="0.3">
      <c r="A6" s="30" t="s">
        <v>61</v>
      </c>
      <c r="B6" s="102" t="s">
        <v>62</v>
      </c>
      <c r="C6" s="102"/>
      <c r="D6" s="102"/>
      <c r="E6" s="102"/>
      <c r="F6" s="102"/>
      <c r="G6" s="102"/>
      <c r="H6" s="102"/>
      <c r="K6" s="29" t="s">
        <v>63</v>
      </c>
      <c r="L6" s="101" t="s">
        <v>64</v>
      </c>
      <c r="M6" s="101"/>
      <c r="N6" s="101"/>
      <c r="O6" s="101"/>
      <c r="P6" s="101"/>
      <c r="Q6" s="101"/>
      <c r="R6" s="101"/>
    </row>
    <row r="7" spans="1:18" ht="15" customHeight="1" x14ac:dyDescent="0.3">
      <c r="A7" s="29" t="s">
        <v>63</v>
      </c>
      <c r="B7" s="101" t="s">
        <v>64</v>
      </c>
      <c r="C7" s="101"/>
      <c r="D7" s="101"/>
      <c r="E7" s="101"/>
      <c r="F7" s="101"/>
      <c r="G7" s="101"/>
      <c r="H7" s="101"/>
      <c r="K7" s="29" t="s">
        <v>65</v>
      </c>
      <c r="L7" s="101" t="s">
        <v>66</v>
      </c>
      <c r="M7" s="101"/>
      <c r="N7" s="101"/>
      <c r="O7" s="101"/>
      <c r="P7" s="101"/>
      <c r="Q7" s="101"/>
      <c r="R7" s="101"/>
    </row>
    <row r="8" spans="1:18" ht="15" customHeight="1" x14ac:dyDescent="0.3">
      <c r="A8" s="29" t="s">
        <v>65</v>
      </c>
      <c r="B8" s="101" t="s">
        <v>66</v>
      </c>
      <c r="C8" s="101"/>
      <c r="D8" s="101"/>
      <c r="E8" s="101"/>
      <c r="F8" s="101"/>
      <c r="G8" s="101"/>
      <c r="H8" s="101"/>
      <c r="K8" s="29" t="s">
        <v>67</v>
      </c>
      <c r="L8" s="101" t="s">
        <v>68</v>
      </c>
      <c r="M8" s="101"/>
      <c r="N8" s="101"/>
      <c r="O8" s="101"/>
      <c r="P8" s="101"/>
      <c r="Q8" s="101"/>
      <c r="R8" s="101"/>
    </row>
    <row r="9" spans="1:18" ht="15" customHeight="1" x14ac:dyDescent="0.3">
      <c r="A9" s="29" t="s">
        <v>67</v>
      </c>
      <c r="B9" s="101" t="s">
        <v>68</v>
      </c>
      <c r="C9" s="101"/>
      <c r="D9" s="101"/>
      <c r="E9" s="101"/>
      <c r="F9" s="101"/>
      <c r="G9" s="101"/>
      <c r="H9" s="101"/>
      <c r="K9" s="29" t="s">
        <v>69</v>
      </c>
      <c r="L9" s="101" t="s">
        <v>70</v>
      </c>
      <c r="M9" s="101"/>
      <c r="N9" s="101"/>
      <c r="O9" s="101"/>
      <c r="P9" s="101"/>
      <c r="Q9" s="101"/>
      <c r="R9" s="101"/>
    </row>
    <row r="10" spans="1:18" ht="15" customHeight="1" x14ac:dyDescent="0.3">
      <c r="A10" s="31"/>
      <c r="B10" s="101"/>
      <c r="C10" s="101"/>
      <c r="D10" s="101"/>
      <c r="E10" s="101"/>
      <c r="F10" s="101"/>
      <c r="G10" s="101"/>
      <c r="H10" s="101"/>
      <c r="K10" s="29" t="s">
        <v>71</v>
      </c>
      <c r="L10" s="101" t="s">
        <v>72</v>
      </c>
      <c r="M10" s="101"/>
      <c r="N10" s="101"/>
      <c r="O10" s="101"/>
      <c r="P10" s="101"/>
      <c r="Q10" s="101"/>
      <c r="R10" s="101"/>
    </row>
    <row r="11" spans="1:18" ht="15" customHeight="1" x14ac:dyDescent="0.3">
      <c r="K11" s="29" t="s">
        <v>73</v>
      </c>
      <c r="L11" s="101" t="s">
        <v>74</v>
      </c>
      <c r="M11" s="101"/>
      <c r="N11" s="101"/>
      <c r="O11" s="101"/>
      <c r="P11" s="101"/>
      <c r="Q11" s="101"/>
      <c r="R11" s="101"/>
    </row>
    <row r="12" spans="1:18" ht="15" customHeight="1" x14ac:dyDescent="0.3">
      <c r="K12" s="29" t="s">
        <v>75</v>
      </c>
      <c r="L12" s="101" t="s">
        <v>76</v>
      </c>
      <c r="M12" s="101"/>
      <c r="N12" s="101"/>
      <c r="O12" s="101"/>
      <c r="P12" s="101"/>
      <c r="Q12" s="101"/>
      <c r="R12" s="101"/>
    </row>
    <row r="13" spans="1:18" ht="15" customHeight="1" x14ac:dyDescent="0.3">
      <c r="K13" s="29" t="s">
        <v>77</v>
      </c>
      <c r="L13" s="101" t="s">
        <v>78</v>
      </c>
      <c r="M13" s="101"/>
      <c r="N13" s="101"/>
      <c r="O13" s="101"/>
      <c r="P13" s="101"/>
      <c r="Q13" s="101"/>
      <c r="R13" s="101"/>
    </row>
    <row r="14" spans="1:18" ht="15" customHeight="1" x14ac:dyDescent="0.3">
      <c r="A14" s="32"/>
      <c r="B14" s="33"/>
      <c r="C14" s="33"/>
      <c r="D14" s="33"/>
      <c r="E14" s="33"/>
      <c r="F14" s="33"/>
      <c r="G14" s="33"/>
      <c r="H14" s="33"/>
      <c r="K14" s="34"/>
      <c r="L14" s="33"/>
      <c r="M14" s="33"/>
      <c r="N14" s="33"/>
      <c r="O14" s="33"/>
      <c r="P14" s="33"/>
      <c r="Q14" s="33"/>
      <c r="R14" s="33"/>
    </row>
    <row r="15" spans="1:18" ht="15" customHeight="1" x14ac:dyDescent="0.3">
      <c r="A15" s="103" t="s">
        <v>79</v>
      </c>
      <c r="B15" s="103"/>
      <c r="C15" s="103"/>
      <c r="D15" s="103"/>
      <c r="E15" s="103"/>
      <c r="F15" s="103"/>
      <c r="G15" s="103"/>
      <c r="H15" s="103"/>
      <c r="K15" s="104" t="s">
        <v>80</v>
      </c>
      <c r="L15" s="104"/>
      <c r="M15" s="104"/>
      <c r="N15" s="104"/>
      <c r="O15" s="104"/>
      <c r="P15" s="104"/>
      <c r="Q15" s="104"/>
      <c r="R15" s="104"/>
    </row>
    <row r="16" spans="1:18" ht="14.25" customHeight="1" x14ac:dyDescent="0.3">
      <c r="A16" s="35" t="s">
        <v>81</v>
      </c>
      <c r="B16" s="35" t="s">
        <v>25</v>
      </c>
      <c r="C16" s="35" t="s">
        <v>82</v>
      </c>
      <c r="D16" s="35" t="s">
        <v>83</v>
      </c>
      <c r="E16" s="35" t="s">
        <v>84</v>
      </c>
      <c r="F16" s="35" t="s">
        <v>85</v>
      </c>
      <c r="G16" s="35" t="s">
        <v>86</v>
      </c>
      <c r="H16" s="35" t="s">
        <v>87</v>
      </c>
      <c r="K16" s="35" t="s">
        <v>81</v>
      </c>
      <c r="L16" s="35" t="s">
        <v>25</v>
      </c>
      <c r="M16" s="35" t="s">
        <v>82</v>
      </c>
      <c r="N16" s="35" t="s">
        <v>83</v>
      </c>
      <c r="O16" s="35" t="s">
        <v>84</v>
      </c>
      <c r="P16" s="35" t="s">
        <v>85</v>
      </c>
      <c r="Q16" s="35" t="s">
        <v>86</v>
      </c>
      <c r="R16" s="35" t="s">
        <v>87</v>
      </c>
    </row>
    <row r="17" spans="1:18" ht="52.5" customHeight="1" x14ac:dyDescent="0.3">
      <c r="A17" s="36" t="s">
        <v>63</v>
      </c>
      <c r="B17" s="36">
        <v>50</v>
      </c>
      <c r="C17" s="36">
        <v>4</v>
      </c>
      <c r="D17" s="37" t="s">
        <v>88</v>
      </c>
      <c r="E17" s="36" t="s">
        <v>89</v>
      </c>
      <c r="F17" s="36" t="s">
        <v>90</v>
      </c>
      <c r="G17" s="38">
        <v>0.4</v>
      </c>
      <c r="H17" s="39" t="s">
        <v>91</v>
      </c>
      <c r="K17" s="36" t="s">
        <v>63</v>
      </c>
      <c r="L17" s="36">
        <v>50</v>
      </c>
      <c r="M17" s="36">
        <v>4</v>
      </c>
      <c r="N17" s="37" t="s">
        <v>88</v>
      </c>
      <c r="O17" s="36" t="s">
        <v>89</v>
      </c>
      <c r="P17" s="36" t="s">
        <v>90</v>
      </c>
      <c r="Q17" s="38">
        <v>0.4</v>
      </c>
      <c r="R17" s="39" t="s">
        <v>91</v>
      </c>
    </row>
    <row r="18" spans="1:18" ht="26.25" customHeight="1" x14ac:dyDescent="0.3">
      <c r="A18" s="40" t="s">
        <v>65</v>
      </c>
      <c r="B18" s="40">
        <v>100</v>
      </c>
      <c r="C18" s="40">
        <v>4</v>
      </c>
      <c r="D18" s="37" t="s">
        <v>88</v>
      </c>
      <c r="E18" s="40" t="s">
        <v>89</v>
      </c>
      <c r="F18" s="40" t="s">
        <v>90</v>
      </c>
      <c r="G18" s="41">
        <v>0.36</v>
      </c>
      <c r="H18" s="42" t="s">
        <v>92</v>
      </c>
      <c r="K18" s="40" t="s">
        <v>65</v>
      </c>
      <c r="L18" s="40">
        <v>100</v>
      </c>
      <c r="M18" s="40">
        <v>4</v>
      </c>
      <c r="N18" s="37" t="s">
        <v>88</v>
      </c>
      <c r="O18" s="40" t="s">
        <v>89</v>
      </c>
      <c r="P18" s="40" t="s">
        <v>90</v>
      </c>
      <c r="Q18" s="41">
        <v>0.36</v>
      </c>
      <c r="R18" s="42" t="s">
        <v>92</v>
      </c>
    </row>
    <row r="19" spans="1:18" ht="26.25" customHeight="1" x14ac:dyDescent="0.3">
      <c r="A19" s="36" t="s">
        <v>67</v>
      </c>
      <c r="B19" s="36">
        <v>200</v>
      </c>
      <c r="C19" s="36">
        <v>4</v>
      </c>
      <c r="D19" s="37" t="s">
        <v>88</v>
      </c>
      <c r="E19" s="36" t="s">
        <v>89</v>
      </c>
      <c r="F19" s="36" t="s">
        <v>90</v>
      </c>
      <c r="G19" s="38">
        <v>0.37</v>
      </c>
      <c r="H19" s="36" t="s">
        <v>92</v>
      </c>
      <c r="K19" s="36" t="s">
        <v>67</v>
      </c>
      <c r="L19" s="36">
        <v>200</v>
      </c>
      <c r="M19" s="36">
        <v>4</v>
      </c>
      <c r="N19" s="37" t="s">
        <v>88</v>
      </c>
      <c r="O19" s="36" t="s">
        <v>89</v>
      </c>
      <c r="P19" s="36" t="s">
        <v>90</v>
      </c>
      <c r="Q19" s="38">
        <v>0.37</v>
      </c>
      <c r="R19" s="36" t="s">
        <v>92</v>
      </c>
    </row>
    <row r="21" spans="1:18" ht="15" customHeight="1" x14ac:dyDescent="0.3">
      <c r="A21" s="105" t="s">
        <v>93</v>
      </c>
      <c r="B21" s="105"/>
      <c r="C21" s="105"/>
      <c r="D21" s="105"/>
      <c r="E21" s="105"/>
      <c r="F21" s="105"/>
      <c r="G21" s="105"/>
      <c r="H21" s="105"/>
      <c r="K21" s="105" t="s">
        <v>93</v>
      </c>
      <c r="L21" s="105"/>
      <c r="M21" s="105"/>
      <c r="N21" s="105"/>
      <c r="O21" s="105"/>
      <c r="P21" s="105"/>
      <c r="Q21" s="105"/>
      <c r="R21" s="105"/>
    </row>
    <row r="22" spans="1:18" ht="14.25" customHeight="1" x14ac:dyDescent="0.3">
      <c r="A22" s="35" t="s">
        <v>81</v>
      </c>
      <c r="B22" s="35" t="s">
        <v>25</v>
      </c>
      <c r="C22" s="35" t="s">
        <v>82</v>
      </c>
      <c r="D22" s="35" t="s">
        <v>94</v>
      </c>
      <c r="E22" s="35" t="s">
        <v>6</v>
      </c>
      <c r="F22" s="35" t="s">
        <v>95</v>
      </c>
      <c r="G22" s="35" t="s">
        <v>9</v>
      </c>
      <c r="H22" s="35" t="s">
        <v>21</v>
      </c>
      <c r="K22" s="35" t="s">
        <v>81</v>
      </c>
      <c r="L22" s="35" t="s">
        <v>25</v>
      </c>
      <c r="M22" s="35" t="s">
        <v>82</v>
      </c>
      <c r="N22" s="35" t="s">
        <v>94</v>
      </c>
      <c r="O22" s="35" t="s">
        <v>6</v>
      </c>
      <c r="P22" s="35" t="s">
        <v>95</v>
      </c>
      <c r="Q22" s="35" t="s">
        <v>9</v>
      </c>
      <c r="R22" s="35" t="s">
        <v>21</v>
      </c>
    </row>
    <row r="23" spans="1:18" ht="14.25" customHeight="1" x14ac:dyDescent="0.3">
      <c r="A23" s="43" t="s">
        <v>63</v>
      </c>
      <c r="B23" s="43">
        <v>50</v>
      </c>
      <c r="C23" s="43">
        <v>4</v>
      </c>
      <c r="D23" s="43">
        <v>990.87</v>
      </c>
      <c r="E23" s="43">
        <v>1208.83</v>
      </c>
      <c r="F23" s="43">
        <v>42945</v>
      </c>
      <c r="G23" s="43" t="s">
        <v>96</v>
      </c>
      <c r="H23" s="44">
        <f>D23/C23</f>
        <v>247.7175</v>
      </c>
      <c r="K23" s="43" t="s">
        <v>63</v>
      </c>
      <c r="L23" s="43">
        <v>50</v>
      </c>
      <c r="M23" s="43">
        <v>4</v>
      </c>
      <c r="N23" s="43">
        <v>990.87</v>
      </c>
      <c r="O23" s="43">
        <v>1208.83</v>
      </c>
      <c r="P23" s="43">
        <v>42945</v>
      </c>
      <c r="Q23" s="43" t="s">
        <v>96</v>
      </c>
      <c r="R23" s="44">
        <f>N23/M23</f>
        <v>247.7175</v>
      </c>
    </row>
    <row r="24" spans="1:18" ht="14.25" customHeight="1" x14ac:dyDescent="0.3">
      <c r="A24" s="45" t="s">
        <v>65</v>
      </c>
      <c r="B24" s="45">
        <v>100</v>
      </c>
      <c r="C24" s="45">
        <v>4</v>
      </c>
      <c r="D24" s="45" t="s">
        <v>48</v>
      </c>
      <c r="E24" s="45" t="s">
        <v>48</v>
      </c>
      <c r="F24" s="45" t="s">
        <v>48</v>
      </c>
      <c r="G24" s="45" t="s">
        <v>48</v>
      </c>
      <c r="H24" s="45" t="s">
        <v>48</v>
      </c>
      <c r="K24" s="45" t="s">
        <v>65</v>
      </c>
      <c r="L24" s="45">
        <v>100</v>
      </c>
      <c r="M24" s="45">
        <v>4</v>
      </c>
      <c r="N24" s="45" t="s">
        <v>48</v>
      </c>
      <c r="O24" s="45" t="s">
        <v>48</v>
      </c>
      <c r="P24" s="45" t="s">
        <v>48</v>
      </c>
      <c r="Q24" s="45" t="s">
        <v>48</v>
      </c>
      <c r="R24" s="45" t="s">
        <v>48</v>
      </c>
    </row>
    <row r="25" spans="1:18" ht="14.25" customHeight="1" x14ac:dyDescent="0.3">
      <c r="A25" s="43" t="s">
        <v>67</v>
      </c>
      <c r="B25" s="43">
        <v>200</v>
      </c>
      <c r="C25" s="43">
        <v>4</v>
      </c>
      <c r="D25" s="43" t="s">
        <v>48</v>
      </c>
      <c r="E25" s="43" t="s">
        <v>48</v>
      </c>
      <c r="F25" s="43" t="s">
        <v>48</v>
      </c>
      <c r="G25" s="43" t="s">
        <v>48</v>
      </c>
      <c r="H25" s="43" t="s">
        <v>48</v>
      </c>
      <c r="K25" s="43" t="s">
        <v>67</v>
      </c>
      <c r="L25" s="43">
        <v>200</v>
      </c>
      <c r="M25" s="43">
        <v>4</v>
      </c>
      <c r="N25" s="43" t="s">
        <v>48</v>
      </c>
      <c r="O25" s="43" t="s">
        <v>48</v>
      </c>
      <c r="P25" s="43" t="s">
        <v>48</v>
      </c>
      <c r="Q25" s="43" t="s">
        <v>48</v>
      </c>
      <c r="R25" s="43" t="s">
        <v>48</v>
      </c>
    </row>
  </sheetData>
  <mergeCells count="26">
    <mergeCell ref="A15:H15"/>
    <mergeCell ref="K15:R15"/>
    <mergeCell ref="A21:H21"/>
    <mergeCell ref="K21:R21"/>
    <mergeCell ref="B10:H10"/>
    <mergeCell ref="L10:R10"/>
    <mergeCell ref="L11:R11"/>
    <mergeCell ref="L12:R12"/>
    <mergeCell ref="L13:R13"/>
    <mergeCell ref="B7:H7"/>
    <mergeCell ref="L7:R7"/>
    <mergeCell ref="B8:H8"/>
    <mergeCell ref="L8:R8"/>
    <mergeCell ref="B9:H9"/>
    <mergeCell ref="L9:R9"/>
    <mergeCell ref="B4:H4"/>
    <mergeCell ref="L4:R4"/>
    <mergeCell ref="B5:H5"/>
    <mergeCell ref="L5:R5"/>
    <mergeCell ref="B6:H6"/>
    <mergeCell ref="L6:R6"/>
    <mergeCell ref="A1:H1"/>
    <mergeCell ref="A2:H2"/>
    <mergeCell ref="K2:R2"/>
    <mergeCell ref="B3:H3"/>
    <mergeCell ref="L3:R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Normal="100" workbookViewId="0">
      <selection activeCell="B3" sqref="B3"/>
    </sheetView>
  </sheetViews>
  <sheetFormatPr defaultColWidth="8.6640625" defaultRowHeight="14.4" x14ac:dyDescent="0.3"/>
  <cols>
    <col min="2" max="2" width="46.5546875" customWidth="1"/>
  </cols>
  <sheetData>
    <row r="1" spans="1:2" ht="14.25" customHeight="1" x14ac:dyDescent="0.3">
      <c r="A1" t="s">
        <v>97</v>
      </c>
      <c r="B1" t="s">
        <v>98</v>
      </c>
    </row>
    <row r="2" spans="1:2" ht="14.25" customHeight="1" x14ac:dyDescent="0.3">
      <c r="B2" t="s">
        <v>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Summary</vt:lpstr>
      <vt:lpstr>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Sendy Prasetyo</dc:creator>
  <dc:description/>
  <cp:lastModifiedBy>Muhammad Fadhil Musyaffa</cp:lastModifiedBy>
  <cp:revision>0</cp:revision>
  <dcterms:created xsi:type="dcterms:W3CDTF">2023-09-14T01:58:44Z</dcterms:created>
  <dcterms:modified xsi:type="dcterms:W3CDTF">2026-04-13T08:08:04Z</dcterms:modified>
  <dc:language>en-US</dc:language>
</cp:coreProperties>
</file>