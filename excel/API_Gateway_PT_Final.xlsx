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sya\Downloads\"/>
    </mc:Choice>
  </mc:AlternateContent>
  <xr:revisionPtr revIDLastSave="0" documentId="13_ncr:1_{350B9B48-64B6-4EF2-8C15-14F14C4D15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port" sheetId="1" r:id="rId1"/>
    <sheet name="Summary" sheetId="2" r:id="rId2"/>
    <sheet name="Goal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31" i="1" l="1"/>
  <c r="AA31" i="1"/>
  <c r="Z31" i="1"/>
  <c r="Y31" i="1"/>
  <c r="AB30" i="1"/>
  <c r="AA30" i="1"/>
  <c r="Z30" i="1"/>
  <c r="Y30" i="1"/>
  <c r="AB29" i="1"/>
  <c r="AA29" i="1"/>
  <c r="Z29" i="1"/>
  <c r="Y29" i="1"/>
  <c r="AB21" i="1"/>
  <c r="AA21" i="1"/>
  <c r="Z21" i="1"/>
  <c r="Y21" i="1"/>
  <c r="AB20" i="1"/>
  <c r="AA20" i="1"/>
  <c r="Z20" i="1"/>
  <c r="Y20" i="1"/>
  <c r="AB19" i="1"/>
  <c r="AA19" i="1"/>
  <c r="Z19" i="1"/>
  <c r="Y19" i="1"/>
  <c r="AB9" i="1"/>
  <c r="AA9" i="1"/>
  <c r="Z9" i="1"/>
  <c r="Y9" i="1"/>
  <c r="AB8" i="1"/>
  <c r="AA8" i="1"/>
  <c r="Z8" i="1"/>
  <c r="Y8" i="1"/>
  <c r="AB7" i="1"/>
  <c r="AA7" i="1"/>
  <c r="Z7" i="1"/>
  <c r="Y7" i="1"/>
</calcChain>
</file>

<file path=xl/sharedStrings.xml><?xml version="1.0" encoding="utf-8"?>
<sst xmlns="http://schemas.openxmlformats.org/spreadsheetml/2006/main" count="302" uniqueCount="143">
  <si>
    <t xml:space="preserve">PERFORMANCE TESTING NODE JS (ElysiaJS) WITHOUT Webmethod API Gateway 11.1 </t>
  </si>
  <si>
    <t>ms</t>
  </si>
  <si>
    <t>Date</t>
  </si>
  <si>
    <t>Duration (m)</t>
  </si>
  <si>
    <t>Core Services</t>
  </si>
  <si>
    <t>TPS</t>
  </si>
  <si>
    <t>TPS MAX</t>
  </si>
  <si>
    <t>Sample</t>
  </si>
  <si>
    <t>Error</t>
  </si>
  <si>
    <t>Error Rate %</t>
  </si>
  <si>
    <t>AVG</t>
  </si>
  <si>
    <t>Median</t>
  </si>
  <si>
    <t>MIN</t>
  </si>
  <si>
    <t>MAX</t>
  </si>
  <si>
    <t>CPU</t>
  </si>
  <si>
    <t>Utilization</t>
  </si>
  <si>
    <t>90th pct</t>
  </si>
  <si>
    <t>95th pct</t>
  </si>
  <si>
    <t>99th pct</t>
  </si>
  <si>
    <t>TPS per vCPU</t>
  </si>
  <si>
    <t>TPS per 1% CPU</t>
  </si>
  <si>
    <t>CPU cost per req</t>
  </si>
  <si>
    <t>Latency budget %</t>
  </si>
  <si>
    <t>Note</t>
  </si>
  <si>
    <t>Result</t>
  </si>
  <si>
    <t>CCU</t>
  </si>
  <si>
    <t>CPU Usage (%)</t>
  </si>
  <si>
    <t>Memory Usage (%)</t>
  </si>
  <si>
    <t>(ms)</t>
  </si>
  <si>
    <t>TPS ÷ vCPU</t>
  </si>
  <si>
    <t>TPS ÷ CPU avg%</t>
  </si>
  <si>
    <t>CPU% ÷ TPS</t>
  </si>
  <si>
    <t>AVG ÷ 60000ms ×100</t>
  </si>
  <si>
    <t>Local Device</t>
  </si>
  <si>
    <t>50 (Baseline)</t>
  </si>
  <si>
    <t>NODE JS PROCESS SERVICE (WITHOUT API GATEWAY)</t>
  </si>
  <si>
    <t>0.00</t>
  </si>
  <si>
    <t>100 (Medium)</t>
  </si>
  <si>
    <t>200 (Peak)</t>
  </si>
  <si>
    <t>PERFORMANCE TESTING NODE JS (ElysiaJS) WITH Webmethod API Gateway 11.1</t>
  </si>
  <si>
    <t>NODE JS PROCESS SERVICE (WITH API GATEWAY in Docker)</t>
  </si>
  <si>
    <t>56.83</t>
  </si>
  <si>
    <t>0.00%</t>
  </si>
  <si>
    <t>96.5%</t>
  </si>
  <si>
    <t>93.4%</t>
  </si>
  <si>
    <t>94%</t>
  </si>
  <si>
    <t>PERFORMANCE TESTING IS Flow Service (WM IS 11.1) WITHOUT webMethods API Gateway 11.1</t>
  </si>
  <si>
    <t>WM IS Flow Service (IS in Docker— No API Gateway)</t>
  </si>
  <si>
    <t>0.0%</t>
  </si>
  <si>
    <t>Test Environment &amp; Configuration</t>
  </si>
  <si>
    <t>Parameter</t>
  </si>
  <si>
    <t>Value</t>
  </si>
  <si>
    <t>Machine</t>
  </si>
  <si>
    <t>AMD Ryzen 5 8645HS — Local Laptop, Windows 11 Pro</t>
  </si>
  <si>
    <t>RAM</t>
  </si>
  <si>
    <t>vCPU</t>
  </si>
  <si>
    <t>12 logical processors (6 physical cores × 2 Hyper-Threading)</t>
  </si>
  <si>
    <t>Elysia</t>
  </si>
  <si>
    <t>ElysiaJS on Bun runtime → localhost:3000 (Windows native)</t>
  </si>
  <si>
    <t>WM IS</t>
  </si>
  <si>
    <t>webMethods IS 11.1 → Docker container → localhost:5555</t>
  </si>
  <si>
    <t>API Gateway</t>
  </si>
  <si>
    <t>webMethods API Gateway 11.1 → Docker container → localhost:6655</t>
  </si>
  <si>
    <t>Same container</t>
  </si>
  <si>
    <t>WM IS and API Gateway run in the SAME Docker container</t>
  </si>
  <si>
    <t>JMeter</t>
  </si>
  <si>
    <t>Apache JMeter 5.6.3 — CLI non-GUI mode</t>
  </si>
  <si>
    <t>Phases</t>
  </si>
  <si>
    <t>Phase 1: 50 CCU | Phase 2: 100 CCU | Phase 3: 200 CCU — each 60s</t>
  </si>
  <si>
    <t>GW Policies</t>
  </si>
  <si>
    <t>API Key Auth | Straight Through Routing | Log Invocation | Error Handling</t>
  </si>
  <si>
    <t>GW Timeouts</t>
  </si>
  <si>
    <t>Conn: 30s | Read: 30s | Native: 45s</t>
  </si>
  <si>
    <t>GW Tuning</t>
  </si>
  <si>
    <t>watt.server.threadPool=500 | watt.net.maxClientKeepaliveConns=200 | watt.net.clientKeepaliveUsageLimit=1000</t>
  </si>
  <si>
    <t>Test</t>
  </si>
  <si>
    <t>TPS avg</t>
  </si>
  <si>
    <t>Samples</t>
  </si>
  <si>
    <t>Errors</t>
  </si>
  <si>
    <t>Error%</t>
  </si>
  <si>
    <t>AVG ms</t>
  </si>
  <si>
    <t>MAX ms</t>
  </si>
  <si>
    <t>90th ms</t>
  </si>
  <si>
    <t>95th ms</t>
  </si>
  <si>
    <t>99th ms</t>
  </si>
  <si>
    <t>TPS/vCPU</t>
  </si>
  <si>
    <t>Phase 3 — 200 CCU</t>
  </si>
  <si>
    <t>Gateway Overhead vs Elysia Direct</t>
  </si>
  <si>
    <t>Phase</t>
  </si>
  <si>
    <t>Elysia TPS</t>
  </si>
  <si>
    <t>GW TPS</t>
  </si>
  <si>
    <t>TPS Drop</t>
  </si>
  <si>
    <t>Drop %</t>
  </si>
  <si>
    <t>Latency Added</t>
  </si>
  <si>
    <t>+7ms</t>
  </si>
  <si>
    <t>+14ms</t>
  </si>
  <si>
    <t>+21ms</t>
  </si>
  <si>
    <t>TPS drop from P1→P3: ~17% — expected under saturation</t>
  </si>
  <si>
    <t>#</t>
  </si>
  <si>
    <t>Category</t>
  </si>
  <si>
    <t>Finding</t>
  </si>
  <si>
    <t>WM IS Performance</t>
  </si>
  <si>
    <t>Goals Checklist</t>
  </si>
  <si>
    <t>Goal</t>
  </si>
  <si>
    <t>Status</t>
  </si>
  <si>
    <t>Notes</t>
  </si>
  <si>
    <t>Target 4000 RPS</t>
  </si>
  <si>
    <t>Optimal GW config</t>
  </si>
  <si>
    <t>threadPool=500 | maxClientKeepaliveConns=200 | clientKeepaliveUsageLimit=1000 | Conn:30s | Read:30s | Native:45s | API Key Auth | Straight Through Routing.</t>
  </si>
  <si>
    <t>Error Rate &lt; 1%</t>
  </si>
  <si>
    <t>Elysia: 0.00% all phases. WM IS: 0.00% all phases. API GW: 0.00% all phases after tuning.</t>
  </si>
  <si>
    <t>Goals :</t>
  </si>
  <si>
    <t>* Mendapatkan config adapter yang optimal</t>
  </si>
  <si>
    <t>* Target RPS 4000</t>
  </si>
  <si>
    <t>16 GB  (RAM Baseline ~88-91% before tests cause : background app running)</t>
  </si>
  <si>
    <t>Summary</t>
  </si>
  <si>
    <t>Elysia Direct without Gateway (ElysiaJS on Bun)</t>
  </si>
  <si>
    <t xml:space="preserve">Elysia with API Gateway (Docker/WSL2) </t>
  </si>
  <si>
    <t>WM IS 11.1 Direct without Gateway (Docker container)</t>
  </si>
  <si>
    <t>OK</t>
  </si>
  <si>
    <t xml:space="preserve">Comparison </t>
  </si>
  <si>
    <t>PERFORMANCE TEST SUMMARY  ( ElysiaJS  NodeJS / WM IS 11.1 / webMethods API Gateway 11.1)</t>
  </si>
  <si>
    <t>Phase 1 (50)</t>
  </si>
  <si>
    <t>Phase 2 (100)</t>
  </si>
  <si>
    <t>Phase 3 (200)</t>
  </si>
  <si>
    <t>Phase 3 200 CCU</t>
  </si>
  <si>
    <t>API Gateway, before Tuning</t>
  </si>
  <si>
    <t>API Gateway After Tuning</t>
  </si>
  <si>
    <t>Memory baseline ~88% before test : Caused by background apps running.
90th/95th/99th pct all under 5ms : consistent.
TPS stable at 22,855 across all phases : no TPS degradation under load.
0 errors across all 1M+ requests.</t>
  </si>
  <si>
    <t>Same machine conditions..</t>
  </si>
  <si>
    <t>Backend Elysia Report</t>
  </si>
  <si>
    <t>same machine as before.</t>
  </si>
  <si>
    <t>IS Report</t>
  </si>
  <si>
    <t>same as before</t>
  </si>
  <si>
    <t>API Gateway running in Docker (WSL2) on same Windows machine.
TPS jumped from old from 50 to 5,360 after thread pool tuning:
  watt.server.threadPool → 500
  watt.net.maxClientKeepaliveConns → 200
  watt.net.clientKeepaliveUsageLimit → 1000
AVG 8ms →  gateway overhead = only ~5ms above Elysia direct.
0 errors at 50 CCU → stable.
Memory baseline ~88% before test : Caused by background apps running.</t>
  </si>
  <si>
    <t>WM IS 11.1 Flow Service running in Docker (same container as API GW).
Tested directly, no API Gateway in path.
13,094 TPS at 50 CCU 
AVG 3ms, Median 3ms
0 errors. CPU only 0.3% 
Memory baseline ~88% before test : Caused by background apps running.</t>
  </si>
  <si>
    <t>Elysia: 22,760+ TPS (5.7× target). WM IS: 12,711+ TPS (3.2× target). API GW: 4,456+ TPS (1.1× target)</t>
  </si>
  <si>
    <t>Gateway overhead ~14ms at 100 concurrent users</t>
  </si>
  <si>
    <t>TPS reduced 76.5%</t>
  </si>
  <si>
    <t xml:space="preserve">WM IS 11.1 in Docker achieves 12,711–13,185 TPS with 0% errors and 3–10ms avg latency. Stable across all phases. MAX spikes (45k-49k ms) are JVM GC pauses . TPS/vCPU: estimated around 1,059–1,099. </t>
  </si>
  <si>
    <t>Before thread pool tuning: 34–50 TPS (99.6% drop from Elysia). Root cause identified as HTTP keepalive connection pool exhaustion. Gateway was serializing requests through a tiny connection pool, causing 45s timeouts to stack up and choke available threads.</t>
  </si>
  <si>
    <t>After tuning watt.server.threadPool=500, watt.net.maxClientKeepaliveConns=200, watt.net.clientKeepaliveUsageLimit=1000: TPS jumped to 4,456–5,360 — a 100× improvement. 0% errors at all phases. Gateway overhead vs Elysia direct: only 7–21ms added latency. Still 76% below Elysia direct TPS.</t>
  </si>
  <si>
    <t>API GW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</si>
</sst>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"/>
    <numFmt numFmtId="166" formatCode="0.0000"/>
    <numFmt numFmtId="167" formatCode="0.00\%"/>
  </numFmts>
  <fonts count="42" x14ac:knownFonts="1">
    <font>
      <sz val="11"/>
      <color theme="1"/>
      <name val="Calibri"/>
      <family val="2"/>
      <charset val="1"/>
    </font>
    <font>
      <b/>
      <sz val="22"/>
      <color theme="0"/>
      <name val="Calibri"/>
      <family val="2"/>
      <charset val="1"/>
    </font>
    <font>
      <b/>
      <sz val="9"/>
      <name val="Calibri"/>
      <family val="2"/>
      <charset val="1"/>
    </font>
    <font>
      <b/>
      <sz val="8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375623"/>
      <name val="Calibri"/>
      <family val="2"/>
      <charset val="1"/>
    </font>
    <font>
      <sz val="10"/>
      <color rgb="FF1F3864"/>
      <name val="Calibri"/>
      <family val="2"/>
      <charset val="1"/>
    </font>
    <font>
      <sz val="10"/>
      <color rgb="FF833C11"/>
      <name val="Calibri"/>
      <family val="2"/>
      <charset val="1"/>
    </font>
    <font>
      <sz val="10"/>
      <color rgb="FF7030A0"/>
      <name val="Calibri"/>
      <family val="2"/>
      <charset val="1"/>
    </font>
    <font>
      <b/>
      <sz val="9"/>
      <color rgb="FFFFFFFF"/>
      <name val="Cambria"/>
      <charset val="1"/>
    </font>
    <font>
      <b/>
      <sz val="9"/>
      <color rgb="FF375623"/>
      <name val="Cambria"/>
      <charset val="1"/>
    </font>
    <font>
      <sz val="8"/>
      <color rgb="FFFFFFFF"/>
      <name val="Cambria"/>
      <charset val="1"/>
    </font>
    <font>
      <sz val="8"/>
      <color rgb="FF375623"/>
      <name val="Cambria"/>
      <charset val="1"/>
    </font>
    <font>
      <sz val="8"/>
      <color rgb="FF000000"/>
      <name val="Cambria"/>
      <charset val="1"/>
    </font>
    <font>
      <sz val="10"/>
      <color rgb="FF000000"/>
      <name val="Cambria"/>
      <charset val="1"/>
    </font>
    <font>
      <b/>
      <sz val="10"/>
      <color rgb="FF375623"/>
      <name val="Cambria"/>
      <charset val="1"/>
    </font>
    <font>
      <sz val="10"/>
      <color rgb="FF1F3864"/>
      <name val="Cambria"/>
      <charset val="1"/>
    </font>
    <font>
      <sz val="10"/>
      <color rgb="FF833C11"/>
      <name val="Cambria"/>
      <charset val="1"/>
    </font>
    <font>
      <sz val="10"/>
      <color rgb="FF7030A0"/>
      <name val="Cambria"/>
      <charset val="1"/>
    </font>
    <font>
      <b/>
      <sz val="22"/>
      <color rgb="FFFFFFFF"/>
      <name val="Cambria"/>
      <charset val="1"/>
    </font>
    <font>
      <sz val="11"/>
      <color rgb="FF000000"/>
      <name val="Cambria"/>
      <charset val="1"/>
    </font>
    <font>
      <sz val="11"/>
      <color rgb="FF000000"/>
      <name val="Cambria"/>
      <family val="1"/>
      <charset val="1"/>
    </font>
    <font>
      <b/>
      <sz val="13"/>
      <color rgb="FFFFFFFF"/>
      <name val="Cambria"/>
      <charset val="1"/>
    </font>
    <font>
      <b/>
      <sz val="11"/>
      <color rgb="FFFFFFFF"/>
      <name val="Cambria"/>
      <charset val="1"/>
    </font>
    <font>
      <b/>
      <sz val="9"/>
      <color rgb="FF000000"/>
      <name val="Cambria"/>
      <charset val="1"/>
    </font>
    <font>
      <sz val="9"/>
      <color rgb="FF000000"/>
      <name val="Cambria"/>
      <charset val="1"/>
    </font>
    <font>
      <b/>
      <sz val="10"/>
      <color rgb="FFFFFFFF"/>
      <name val="Cambria"/>
      <charset val="1"/>
    </font>
    <font>
      <b/>
      <sz val="8"/>
      <color rgb="FFFFFFFF"/>
      <name val="Cambria"/>
      <charset val="1"/>
    </font>
    <font>
      <b/>
      <sz val="9"/>
      <color rgb="FF2E75B6"/>
      <name val="Cambria"/>
      <charset val="1"/>
    </font>
    <font>
      <b/>
      <sz val="9"/>
      <color rgb="FF833C11"/>
      <name val="Cambria"/>
      <charset val="1"/>
    </font>
    <font>
      <sz val="9"/>
      <color rgb="FFC55A11"/>
      <name val="Cambria"/>
      <charset val="1"/>
    </font>
    <font>
      <b/>
      <sz val="9"/>
      <color rgb="FF843C0C"/>
      <name val="Cambria"/>
      <charset val="1"/>
    </font>
    <font>
      <b/>
      <sz val="9"/>
      <color rgb="FFC00000"/>
      <name val="Cambria"/>
      <charset val="1"/>
    </font>
    <font>
      <b/>
      <sz val="16"/>
      <color rgb="FFFFFFFF"/>
      <name val="Cambria"/>
      <family val="1"/>
    </font>
    <font>
      <b/>
      <sz val="9"/>
      <color rgb="FFC00000"/>
      <name val="Cambria"/>
      <family val="1"/>
    </font>
    <font>
      <b/>
      <sz val="9"/>
      <color rgb="FF375623"/>
      <name val="Cambria"/>
      <family val="1"/>
    </font>
    <font>
      <sz val="9"/>
      <color rgb="FF000000"/>
      <name val="Cambria"/>
      <family val="1"/>
    </font>
    <font>
      <sz val="10"/>
      <name val="Cambria"/>
      <family val="1"/>
    </font>
    <font>
      <sz val="10"/>
      <color theme="1"/>
      <name val="Calibri"/>
      <family val="2"/>
      <charset val="1"/>
    </font>
    <font>
      <sz val="10"/>
      <color rgb="FF000000"/>
      <name val="Cambria"/>
      <family val="1"/>
    </font>
    <font>
      <u/>
      <sz val="11"/>
      <color theme="10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4" tint="-0.499984740745262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rgb="FFC6E0B4"/>
      </patternFill>
    </fill>
    <fill>
      <patternFill patternType="solid">
        <fgColor theme="0" tint="-0.14999847407452621"/>
        <bgColor rgb="FFD6E4F0"/>
      </patternFill>
    </fill>
    <fill>
      <patternFill patternType="solid">
        <fgColor theme="5" tint="0.59968871120334488"/>
        <bgColor rgb="FFFCE4D6"/>
      </patternFill>
    </fill>
    <fill>
      <patternFill patternType="solid">
        <fgColor theme="5" tint="0.39967040009765925"/>
        <bgColor rgb="FFF8CBAD"/>
      </patternFill>
    </fill>
    <fill>
      <patternFill patternType="solid">
        <fgColor rgb="FF00B050"/>
        <bgColor rgb="FF008080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F2F2F2"/>
      </patternFill>
    </fill>
    <fill>
      <patternFill patternType="solid">
        <fgColor rgb="FF8EA9C1"/>
        <bgColor rgb="FF9999FF"/>
      </patternFill>
    </fill>
    <fill>
      <patternFill patternType="solid">
        <fgColor rgb="FFC6E0B4"/>
        <bgColor rgb="FFD9D9D9"/>
      </patternFill>
    </fill>
    <fill>
      <patternFill patternType="solid">
        <fgColor rgb="FF1F3864"/>
        <bgColor rgb="FF203864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rgb="FF800080"/>
      </patternFill>
    </fill>
    <fill>
      <patternFill patternType="solid">
        <fgColor rgb="FF548235"/>
        <bgColor rgb="FF808080"/>
      </patternFill>
    </fill>
    <fill>
      <patternFill patternType="solid">
        <fgColor rgb="FF375623"/>
        <bgColor rgb="FF404040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D9D9"/>
      </patternFill>
    </fill>
    <fill>
      <patternFill patternType="solid">
        <fgColor rgb="FF833C11"/>
        <bgColor rgb="FF843C0C"/>
      </patternFill>
    </fill>
    <fill>
      <patternFill patternType="solid">
        <fgColor rgb="FF6C2800"/>
        <bgColor rgb="FF843C0C"/>
      </patternFill>
    </fill>
    <fill>
      <patternFill patternType="solid">
        <fgColor rgb="FFFCE4D6"/>
        <bgColor rgb="FFF2F2F2"/>
      </patternFill>
    </fill>
    <fill>
      <patternFill patternType="solid">
        <fgColor rgb="FF843C0C"/>
        <bgColor rgb="FF833C11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8CBA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14">
    <xf numFmtId="0" fontId="0" fillId="0" borderId="0" xfId="0"/>
    <xf numFmtId="0" fontId="10" fillId="13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/>
    </xf>
    <xf numFmtId="0" fontId="0" fillId="8" borderId="0" xfId="0" applyFill="1"/>
    <xf numFmtId="0" fontId="10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6" fillId="20" borderId="1" xfId="0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8" fillId="22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26" fillId="23" borderId="1" xfId="0" applyFont="1" applyFill="1" applyBorder="1" applyAlignment="1">
      <alignment horizontal="center" vertical="center" wrapText="1"/>
    </xf>
    <xf numFmtId="0" fontId="30" fillId="2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1" fillId="23" borderId="1" xfId="0" applyFont="1" applyFill="1" applyBorder="1" applyAlignment="1">
      <alignment horizontal="center" vertical="center" wrapText="1"/>
    </xf>
    <xf numFmtId="0" fontId="26" fillId="23" borderId="1" xfId="0" applyFont="1" applyFill="1" applyBorder="1" applyAlignment="1">
      <alignment horizontal="left" vertical="center" wrapText="1"/>
    </xf>
    <xf numFmtId="0" fontId="32" fillId="23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24" fillId="24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0" xfId="0" applyFont="1"/>
    <xf numFmtId="0" fontId="39" fillId="8" borderId="0" xfId="0" applyFont="1" applyFill="1"/>
    <xf numFmtId="0" fontId="39" fillId="4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/>
    </xf>
    <xf numFmtId="0" fontId="41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6C2800"/>
      <rgbColor rgb="FF008000"/>
      <rgbColor rgb="FF000080"/>
      <rgbColor rgb="FF548235"/>
      <rgbColor rgb="FF800080"/>
      <rgbColor rgb="FF2E75B6"/>
      <rgbColor rgb="FFBFBFBF"/>
      <rgbColor rgb="FF808080"/>
      <rgbColor rgb="FF9999FF"/>
      <rgbColor rgb="FF7030A0"/>
      <rgbColor rgb="FFF2F2F2"/>
      <rgbColor rgb="FFD6E4F0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CE4D6"/>
      <rgbColor rgb="FF99CCFF"/>
      <rgbColor rgb="FFF4B183"/>
      <rgbColor rgb="FFCC99FF"/>
      <rgbColor rgb="FFF8CBAD"/>
      <rgbColor rgb="FF4472C4"/>
      <rgbColor rgb="FF33CCCC"/>
      <rgbColor rgb="FF99CC00"/>
      <rgbColor rgb="FFFFCC00"/>
      <rgbColor rgb="FFFF9900"/>
      <rgbColor rgb="FFC55A11"/>
      <rgbColor rgb="FF666699"/>
      <rgbColor rgb="FF8EA9C1"/>
      <rgbColor rgb="FF1F3864"/>
      <rgbColor rgb="FF00B050"/>
      <rgbColor rgb="FF003300"/>
      <rgbColor rgb="FF375623"/>
      <rgbColor rgb="FF843C0C"/>
      <rgbColor rgb="FF833C11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file:///D:\MII\2026\BJKT\perf-test-wm-apig-v2\ely_results\ely_report\index.html" TargetMode="External"/><Relationship Id="rId7" Type="http://schemas.openxmlformats.org/officeDocument/2006/relationships/hyperlink" Target="file:///D:\MII\2026\BJKT\perf-test-wm-apig-v2\is_results\is_report\index.html" TargetMode="External"/><Relationship Id="rId2" Type="http://schemas.openxmlformats.org/officeDocument/2006/relationships/hyperlink" Target="file:///D:\MII\2026\BJKT\perf-test-wm-apig-v2\ely_results\ely_report\index.html" TargetMode="External"/><Relationship Id="rId1" Type="http://schemas.openxmlformats.org/officeDocument/2006/relationships/hyperlink" Target="file:///D:\MII\2026\BJKT\perf-test-wm-apig-v2\ely_results\ely_report\index.html" TargetMode="External"/><Relationship Id="rId6" Type="http://schemas.openxmlformats.org/officeDocument/2006/relationships/hyperlink" Target="file:///D:\MII\2026\BJKT\perf-test-wm-apig-v2\is_results\is_report\index.html" TargetMode="External"/><Relationship Id="rId5" Type="http://schemas.openxmlformats.org/officeDocument/2006/relationships/hyperlink" Target="file:///D:\MII\2026\BJKT\perf-test-wm-apig-v2\results\apig_report\index.html" TargetMode="External"/><Relationship Id="rId4" Type="http://schemas.openxmlformats.org/officeDocument/2006/relationships/hyperlink" Target="file:///D:\MII\2026\BJKT\perf-test-wm-apig-v2\results\apig_report\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31"/>
  <sheetViews>
    <sheetView tabSelected="1" topLeftCell="AC1" zoomScale="85" zoomScaleNormal="85" workbookViewId="0">
      <pane ySplit="5" topLeftCell="A6" activePane="bottomLeft" state="frozen"/>
      <selection activeCell="Z1" sqref="Z1"/>
      <selection pane="bottomLeft" activeCell="AF7" sqref="AF7"/>
    </sheetView>
  </sheetViews>
  <sheetFormatPr defaultColWidth="8.6640625" defaultRowHeight="14.4" x14ac:dyDescent="0.3"/>
  <cols>
    <col min="1" max="1" width="12" customWidth="1"/>
    <col min="2" max="2" width="25.33203125" customWidth="1"/>
    <col min="3" max="3" width="17.88671875" customWidth="1"/>
    <col min="4" max="4" width="53.109375" customWidth="1"/>
    <col min="5" max="5" width="14.109375" customWidth="1"/>
    <col min="7" max="7" width="14.33203125" customWidth="1"/>
    <col min="8" max="8" width="9.5546875" customWidth="1"/>
    <col min="9" max="9" width="8.6640625" style="15"/>
    <col min="10" max="10" width="8.109375" style="15" customWidth="1"/>
    <col min="14" max="14" width="9.109375" customWidth="1"/>
    <col min="16" max="16" width="9.109375" customWidth="1"/>
    <col min="17" max="17" width="12.109375" hidden="1" customWidth="1"/>
    <col min="18" max="18" width="10" customWidth="1"/>
    <col min="19" max="19" width="6.21875" customWidth="1"/>
    <col min="20" max="20" width="7" hidden="1" customWidth="1"/>
    <col min="21" max="21" width="12.5546875" hidden="1" customWidth="1"/>
    <col min="22" max="22" width="14.6640625" customWidth="1"/>
    <col min="23" max="23" width="16.88671875" style="16" customWidth="1"/>
    <col min="24" max="26" width="12" customWidth="1"/>
    <col min="27" max="27" width="14" customWidth="1"/>
    <col min="28" max="28" width="15" customWidth="1"/>
    <col min="29" max="29" width="64.109375" bestFit="1" customWidth="1"/>
    <col min="30" max="30" width="76.44140625" customWidth="1"/>
  </cols>
  <sheetData>
    <row r="2" spans="1:30" s="18" customFormat="1" ht="60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7"/>
      <c r="Y2" s="17"/>
      <c r="Z2" s="17"/>
      <c r="AA2" s="17"/>
      <c r="AB2" s="17"/>
      <c r="AC2" s="17"/>
      <c r="AD2" s="17"/>
    </row>
    <row r="3" spans="1:30" ht="14.25" customHeight="1" x14ac:dyDescent="0.3">
      <c r="H3" s="15"/>
      <c r="J3" s="13" t="s">
        <v>1</v>
      </c>
      <c r="K3" s="13"/>
      <c r="L3" s="13"/>
      <c r="M3" s="13"/>
      <c r="N3" s="19"/>
      <c r="V3" s="16"/>
    </row>
    <row r="4" spans="1:30" ht="21.75" customHeight="1" x14ac:dyDescent="0.3">
      <c r="A4" s="20"/>
      <c r="B4" s="12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1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3" t="s">
        <v>15</v>
      </c>
      <c r="P4" s="13"/>
      <c r="Q4" s="13"/>
      <c r="R4" s="13"/>
      <c r="S4" s="13"/>
      <c r="T4" s="13"/>
      <c r="U4" s="13"/>
      <c r="V4" s="21" t="s">
        <v>16</v>
      </c>
      <c r="W4" s="21" t="s">
        <v>17</v>
      </c>
      <c r="X4" s="21" t="s">
        <v>18</v>
      </c>
      <c r="Y4" s="21" t="s">
        <v>19</v>
      </c>
      <c r="Z4" s="21" t="s">
        <v>20</v>
      </c>
      <c r="AA4" s="21" t="s">
        <v>21</v>
      </c>
      <c r="AB4" s="21" t="s">
        <v>22</v>
      </c>
      <c r="AC4" s="11" t="s">
        <v>23</v>
      </c>
      <c r="AD4" s="12" t="s">
        <v>24</v>
      </c>
    </row>
    <row r="5" spans="1:30" ht="18" customHeight="1" x14ac:dyDescent="0.3">
      <c r="A5" s="22" t="s">
        <v>25</v>
      </c>
      <c r="B5" s="12"/>
      <c r="C5" s="12"/>
      <c r="D5" s="12"/>
      <c r="E5" s="12"/>
      <c r="F5" s="12"/>
      <c r="G5" s="12"/>
      <c r="H5" s="12"/>
      <c r="I5" s="11"/>
      <c r="J5" s="11"/>
      <c r="K5" s="11"/>
      <c r="L5" s="11"/>
      <c r="M5" s="11"/>
      <c r="N5" s="11"/>
      <c r="O5" s="13" t="s">
        <v>26</v>
      </c>
      <c r="P5" s="13"/>
      <c r="Q5" s="13"/>
      <c r="R5" s="13" t="s">
        <v>27</v>
      </c>
      <c r="S5" s="13"/>
      <c r="T5" s="13"/>
      <c r="U5" s="13"/>
      <c r="V5" s="23" t="s">
        <v>28</v>
      </c>
      <c r="W5" s="23" t="s">
        <v>28</v>
      </c>
      <c r="X5" s="23" t="s">
        <v>28</v>
      </c>
      <c r="Y5" s="24" t="s">
        <v>29</v>
      </c>
      <c r="Z5" s="24" t="s">
        <v>30</v>
      </c>
      <c r="AA5" s="24" t="s">
        <v>31</v>
      </c>
      <c r="AB5" s="24" t="s">
        <v>32</v>
      </c>
      <c r="AC5" s="11"/>
      <c r="AD5" s="11"/>
    </row>
    <row r="6" spans="1:30" ht="18" customHeight="1" x14ac:dyDescent="0.3">
      <c r="A6" s="25"/>
      <c r="B6" s="12"/>
      <c r="C6" s="12"/>
      <c r="D6" s="12"/>
      <c r="E6" s="12"/>
      <c r="F6" s="12"/>
      <c r="G6" s="12"/>
      <c r="H6" s="25"/>
      <c r="I6" s="11"/>
      <c r="J6" s="11"/>
      <c r="K6" s="11"/>
      <c r="L6" s="11"/>
      <c r="M6" s="11"/>
      <c r="N6" s="11"/>
      <c r="O6" s="13" t="s">
        <v>33</v>
      </c>
      <c r="P6" s="13"/>
      <c r="Q6" s="13"/>
      <c r="R6" s="13" t="s">
        <v>33</v>
      </c>
      <c r="S6" s="13"/>
      <c r="T6" s="13"/>
      <c r="U6" s="13"/>
      <c r="V6" s="24"/>
      <c r="W6" s="24"/>
      <c r="X6" s="24"/>
      <c r="Y6" s="24"/>
      <c r="Z6" s="24"/>
      <c r="AA6" s="24"/>
      <c r="AB6" s="24"/>
      <c r="AC6" s="11"/>
      <c r="AD6" s="11"/>
    </row>
    <row r="7" spans="1:30" ht="114.75" customHeight="1" x14ac:dyDescent="0.3">
      <c r="A7" s="26" t="s">
        <v>34</v>
      </c>
      <c r="B7" s="27">
        <v>46121</v>
      </c>
      <c r="C7" s="28">
        <v>1</v>
      </c>
      <c r="D7" s="28" t="s">
        <v>35</v>
      </c>
      <c r="E7" s="29">
        <v>22855</v>
      </c>
      <c r="F7" s="29">
        <v>24381</v>
      </c>
      <c r="G7" s="30">
        <v>1461148</v>
      </c>
      <c r="H7" s="28">
        <v>0</v>
      </c>
      <c r="I7" s="28" t="s">
        <v>36</v>
      </c>
      <c r="J7" s="28">
        <v>1</v>
      </c>
      <c r="K7" s="28">
        <v>3</v>
      </c>
      <c r="L7" s="28">
        <v>0</v>
      </c>
      <c r="M7" s="28">
        <v>95</v>
      </c>
      <c r="N7" s="28">
        <v>12</v>
      </c>
      <c r="O7" s="10">
        <v>40</v>
      </c>
      <c r="P7" s="10"/>
      <c r="Q7" s="10"/>
      <c r="R7" s="10">
        <v>93</v>
      </c>
      <c r="S7" s="10"/>
      <c r="T7" s="10"/>
      <c r="U7" s="10"/>
      <c r="V7" s="31">
        <v>3</v>
      </c>
      <c r="W7" s="31">
        <v>3</v>
      </c>
      <c r="X7" s="31">
        <v>4</v>
      </c>
      <c r="Y7" s="32">
        <f>IFERROR(ROUND(E7/N7,1),"-")</f>
        <v>1904.6</v>
      </c>
      <c r="Z7" s="33">
        <f>IFERROR(ROUND(E7/IF(ISNUMBER(O7),O7,SUBSTITUTE(O7,"%",""))*1,1),"-")</f>
        <v>571.4</v>
      </c>
      <c r="AA7" s="34">
        <f>IFERROR(ROUND(IF(ISNUMBER(O7),O7,SUBSTITUTE(O7,"%",""))*1/E7,4),"-")</f>
        <v>1.8E-3</v>
      </c>
      <c r="AB7" s="35">
        <f>IFERROR(ROUND(J7/60000*100,2),"-")</f>
        <v>0</v>
      </c>
      <c r="AC7" s="106" t="s">
        <v>128</v>
      </c>
      <c r="AD7" s="113" t="s">
        <v>130</v>
      </c>
    </row>
    <row r="8" spans="1:30" ht="114.75" customHeight="1" x14ac:dyDescent="0.3">
      <c r="A8" s="26" t="s">
        <v>37</v>
      </c>
      <c r="B8" s="27">
        <v>46121</v>
      </c>
      <c r="C8" s="28">
        <v>1</v>
      </c>
      <c r="D8" s="28" t="s">
        <v>35</v>
      </c>
      <c r="E8" s="29">
        <v>22860</v>
      </c>
      <c r="F8" s="36">
        <v>24498</v>
      </c>
      <c r="G8" s="30">
        <v>1470319</v>
      </c>
      <c r="H8" s="28">
        <v>0</v>
      </c>
      <c r="I8" s="28" t="s">
        <v>36</v>
      </c>
      <c r="J8" s="28">
        <v>3</v>
      </c>
      <c r="K8" s="28">
        <v>4</v>
      </c>
      <c r="L8" s="28">
        <v>0</v>
      </c>
      <c r="M8" s="28">
        <v>149</v>
      </c>
      <c r="N8" s="28">
        <v>12</v>
      </c>
      <c r="O8" s="10">
        <v>36</v>
      </c>
      <c r="P8" s="10"/>
      <c r="Q8" s="10"/>
      <c r="R8" s="10">
        <v>90</v>
      </c>
      <c r="S8" s="10"/>
      <c r="T8" s="10"/>
      <c r="U8" s="10"/>
      <c r="V8" s="31">
        <v>27</v>
      </c>
      <c r="W8" s="31">
        <v>38</v>
      </c>
      <c r="X8" s="31">
        <v>96</v>
      </c>
      <c r="Y8" s="32">
        <f>IFERROR(ROUND(E8/N8,1),"-")</f>
        <v>1905</v>
      </c>
      <c r="Z8" s="33">
        <f>IFERROR(ROUND(E8/IF(ISNUMBER(O8),O8,SUBSTITUTE(O8,"%",""))*1,1),"-")</f>
        <v>635</v>
      </c>
      <c r="AA8" s="34">
        <f>IFERROR(ROUND(IF(ISNUMBER(O8),O8,SUBSTITUTE(O8,"%",""))*1/E8,4),"-")</f>
        <v>1.6000000000000001E-3</v>
      </c>
      <c r="AB8" s="35">
        <f>IFERROR(ROUND(J8/60000*100,2),"-")</f>
        <v>0.01</v>
      </c>
      <c r="AC8" s="106" t="s">
        <v>129</v>
      </c>
      <c r="AD8" s="113" t="s">
        <v>130</v>
      </c>
    </row>
    <row r="9" spans="1:30" ht="91.5" customHeight="1" x14ac:dyDescent="0.3">
      <c r="A9" s="26" t="s">
        <v>38</v>
      </c>
      <c r="B9" s="27">
        <v>46121</v>
      </c>
      <c r="C9" s="28">
        <v>1</v>
      </c>
      <c r="D9" s="28" t="s">
        <v>35</v>
      </c>
      <c r="E9" s="29">
        <v>22760</v>
      </c>
      <c r="F9" s="36">
        <v>25448</v>
      </c>
      <c r="G9" s="30">
        <v>1527470</v>
      </c>
      <c r="H9" s="28">
        <v>0</v>
      </c>
      <c r="I9" s="28" t="s">
        <v>36</v>
      </c>
      <c r="J9" s="28">
        <v>5</v>
      </c>
      <c r="K9" s="28">
        <v>6</v>
      </c>
      <c r="L9" s="28">
        <v>0</v>
      </c>
      <c r="M9" s="28">
        <v>30</v>
      </c>
      <c r="N9" s="28">
        <v>12</v>
      </c>
      <c r="O9" s="10">
        <v>38</v>
      </c>
      <c r="P9" s="10"/>
      <c r="Q9" s="10"/>
      <c r="R9" s="10">
        <v>88</v>
      </c>
      <c r="S9" s="10"/>
      <c r="T9" s="10"/>
      <c r="U9" s="10"/>
      <c r="V9" s="31">
        <v>9</v>
      </c>
      <c r="W9" s="31">
        <v>10</v>
      </c>
      <c r="X9" s="31">
        <v>112</v>
      </c>
      <c r="Y9" s="32">
        <f>IFERROR(ROUND(E9/N9,1),"-")</f>
        <v>1896.7</v>
      </c>
      <c r="Z9" s="33">
        <f>IFERROR(ROUND(E9/IF(ISNUMBER(O9),O9,SUBSTITUTE(O9,"%",""))*1,1),"-")</f>
        <v>598.9</v>
      </c>
      <c r="AA9" s="34">
        <f>IFERROR(ROUND(IF(ISNUMBER(O9),O9,SUBSTITUTE(O9,"%",""))*1/E9,4),"-")</f>
        <v>1.6999999999999999E-3</v>
      </c>
      <c r="AB9" s="35">
        <f>IFERROR(ROUND(J9/60000*100,2),"-")</f>
        <v>0.01</v>
      </c>
      <c r="AC9" s="106" t="s">
        <v>129</v>
      </c>
      <c r="AD9" s="113" t="s">
        <v>130</v>
      </c>
    </row>
    <row r="10" spans="1:30" x14ac:dyDescent="0.3">
      <c r="AC10" s="107"/>
    </row>
    <row r="11" spans="1:30" x14ac:dyDescent="0.3">
      <c r="AC11" s="107"/>
    </row>
    <row r="12" spans="1:30" x14ac:dyDescent="0.3">
      <c r="AC12" s="107"/>
    </row>
    <row r="13" spans="1:30" x14ac:dyDescent="0.3">
      <c r="AC13" s="107"/>
    </row>
    <row r="14" spans="1:30" ht="41.25" customHeight="1" x14ac:dyDescent="0.3">
      <c r="A14" s="9" t="s">
        <v>39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37"/>
      <c r="Y14" s="37"/>
      <c r="Z14" s="37"/>
      <c r="AA14" s="37"/>
      <c r="AB14" s="37"/>
      <c r="AC14" s="108"/>
      <c r="AD14" s="37"/>
    </row>
    <row r="15" spans="1:30" ht="14.25" customHeight="1" x14ac:dyDescent="0.3">
      <c r="H15" s="15"/>
      <c r="J15" s="13" t="s">
        <v>1</v>
      </c>
      <c r="K15" s="13"/>
      <c r="L15" s="13"/>
      <c r="M15" s="13"/>
      <c r="N15" s="19"/>
      <c r="V15" s="16"/>
      <c r="AC15" s="107"/>
    </row>
    <row r="16" spans="1:30" ht="14.25" customHeight="1" x14ac:dyDescent="0.3">
      <c r="A16" s="20"/>
      <c r="B16" s="12" t="s">
        <v>2</v>
      </c>
      <c r="C16" s="11" t="s">
        <v>3</v>
      </c>
      <c r="D16" s="11" t="s">
        <v>4</v>
      </c>
      <c r="E16" s="12" t="s">
        <v>5</v>
      </c>
      <c r="F16" s="12" t="s">
        <v>6</v>
      </c>
      <c r="G16" s="12" t="s">
        <v>7</v>
      </c>
      <c r="H16" s="12" t="s">
        <v>8</v>
      </c>
      <c r="I16" s="11" t="s">
        <v>9</v>
      </c>
      <c r="J16" s="12" t="s">
        <v>10</v>
      </c>
      <c r="K16" s="12" t="s">
        <v>11</v>
      </c>
      <c r="L16" s="12" t="s">
        <v>12</v>
      </c>
      <c r="M16" s="12" t="s">
        <v>13</v>
      </c>
      <c r="N16" s="12" t="s">
        <v>14</v>
      </c>
      <c r="O16" s="13" t="s">
        <v>15</v>
      </c>
      <c r="P16" s="13"/>
      <c r="Q16" s="13"/>
      <c r="R16" s="13"/>
      <c r="S16" s="13"/>
      <c r="T16" s="13"/>
      <c r="U16" s="13"/>
      <c r="V16" s="38" t="s">
        <v>16</v>
      </c>
      <c r="W16" s="38" t="s">
        <v>17</v>
      </c>
      <c r="X16" s="38" t="s">
        <v>18</v>
      </c>
      <c r="Y16" s="39" t="s">
        <v>19</v>
      </c>
      <c r="Z16" s="39" t="s">
        <v>20</v>
      </c>
      <c r="AA16" s="39" t="s">
        <v>21</v>
      </c>
      <c r="AB16" s="39" t="s">
        <v>22</v>
      </c>
      <c r="AC16" s="109" t="s">
        <v>23</v>
      </c>
      <c r="AD16" s="12" t="s">
        <v>24</v>
      </c>
    </row>
    <row r="17" spans="1:30" ht="14.25" customHeight="1" x14ac:dyDescent="0.3">
      <c r="A17" s="22" t="s">
        <v>25</v>
      </c>
      <c r="B17" s="12"/>
      <c r="C17" s="12"/>
      <c r="D17" s="12"/>
      <c r="E17" s="12"/>
      <c r="F17" s="12"/>
      <c r="G17" s="12"/>
      <c r="H17" s="12"/>
      <c r="I17" s="11"/>
      <c r="J17" s="11"/>
      <c r="K17" s="11"/>
      <c r="L17" s="11"/>
      <c r="M17" s="11"/>
      <c r="N17" s="11"/>
      <c r="O17" s="13" t="s">
        <v>26</v>
      </c>
      <c r="P17" s="13"/>
      <c r="Q17" s="13"/>
      <c r="R17" s="13" t="s">
        <v>27</v>
      </c>
      <c r="S17" s="13"/>
      <c r="T17" s="13"/>
      <c r="U17" s="13"/>
      <c r="V17" s="40" t="s">
        <v>28</v>
      </c>
      <c r="W17" s="40" t="s">
        <v>28</v>
      </c>
      <c r="X17" s="40" t="s">
        <v>28</v>
      </c>
      <c r="Y17" s="41" t="s">
        <v>29</v>
      </c>
      <c r="Z17" s="41" t="s">
        <v>30</v>
      </c>
      <c r="AA17" s="41" t="s">
        <v>31</v>
      </c>
      <c r="AB17" s="41" t="s">
        <v>32</v>
      </c>
      <c r="AC17" s="109"/>
      <c r="AD17" s="11"/>
    </row>
    <row r="18" spans="1:30" ht="14.25" customHeight="1" x14ac:dyDescent="0.3">
      <c r="A18" s="25"/>
      <c r="B18" s="12"/>
      <c r="C18" s="12"/>
      <c r="D18" s="12"/>
      <c r="E18" s="12"/>
      <c r="F18" s="12"/>
      <c r="G18" s="12"/>
      <c r="H18" s="25"/>
      <c r="I18" s="11"/>
      <c r="J18" s="11"/>
      <c r="K18" s="11"/>
      <c r="L18" s="11"/>
      <c r="M18" s="11"/>
      <c r="N18" s="11"/>
      <c r="O18" s="13" t="s">
        <v>33</v>
      </c>
      <c r="P18" s="13"/>
      <c r="Q18" s="13"/>
      <c r="R18" s="13" t="s">
        <v>33</v>
      </c>
      <c r="S18" s="13"/>
      <c r="T18" s="13"/>
      <c r="U18" s="13"/>
      <c r="V18" s="42"/>
      <c r="W18" s="42"/>
      <c r="X18" s="42"/>
      <c r="Y18" s="43"/>
      <c r="Z18" s="43"/>
      <c r="AA18" s="43"/>
      <c r="AB18" s="43"/>
      <c r="AC18" s="109"/>
      <c r="AD18" s="11"/>
    </row>
    <row r="19" spans="1:30" ht="186.75" customHeight="1" x14ac:dyDescent="0.3">
      <c r="A19" s="26" t="s">
        <v>34</v>
      </c>
      <c r="B19" s="27">
        <v>46121</v>
      </c>
      <c r="C19" s="28">
        <v>1</v>
      </c>
      <c r="D19" s="28" t="s">
        <v>40</v>
      </c>
      <c r="E19" s="111">
        <v>5360</v>
      </c>
      <c r="F19" s="112" t="s">
        <v>41</v>
      </c>
      <c r="G19" s="30">
        <v>335728</v>
      </c>
      <c r="H19" s="28">
        <v>0</v>
      </c>
      <c r="I19" s="28" t="s">
        <v>42</v>
      </c>
      <c r="J19" s="28">
        <v>8</v>
      </c>
      <c r="K19" s="28">
        <v>17</v>
      </c>
      <c r="L19" s="28">
        <v>1</v>
      </c>
      <c r="M19" s="28">
        <v>661</v>
      </c>
      <c r="N19" s="28">
        <v>12</v>
      </c>
      <c r="O19" s="8">
        <v>0.28999999999999998</v>
      </c>
      <c r="P19" s="8"/>
      <c r="Q19" s="8"/>
      <c r="R19" s="10" t="s">
        <v>43</v>
      </c>
      <c r="S19" s="10"/>
      <c r="T19" s="10"/>
      <c r="U19" s="10"/>
      <c r="V19" s="44">
        <v>13</v>
      </c>
      <c r="W19" s="44">
        <v>16</v>
      </c>
      <c r="X19" s="44">
        <v>24</v>
      </c>
      <c r="Y19" s="45">
        <f>IFERROR(ROUND(E19/N19,1),"-")</f>
        <v>446.7</v>
      </c>
      <c r="Z19" s="46">
        <f>IFERROR(ROUND(E19/IF(ISNUMBER(O19),O19,SUBSTITUTE(O19,"%",""))*1,1),"-")</f>
        <v>18482.8</v>
      </c>
      <c r="AA19" s="47">
        <f>IFERROR(ROUND(IF(ISNUMBER(O19),O19,SUBSTITUTE(O19,"%",""))*1/E19,4),"-")</f>
        <v>1E-4</v>
      </c>
      <c r="AB19" s="48">
        <f>IFERROR(ROUND(J19/60000*100,2),"-")</f>
        <v>0.01</v>
      </c>
      <c r="AC19" s="106" t="s">
        <v>134</v>
      </c>
      <c r="AD19" s="113" t="s">
        <v>142</v>
      </c>
    </row>
    <row r="20" spans="1:30" ht="79.5" customHeight="1" x14ac:dyDescent="0.3">
      <c r="A20" s="26" t="s">
        <v>37</v>
      </c>
      <c r="B20" s="27">
        <v>46121</v>
      </c>
      <c r="C20" s="28">
        <v>1</v>
      </c>
      <c r="D20" s="49" t="s">
        <v>40</v>
      </c>
      <c r="E20" s="111">
        <v>4650</v>
      </c>
      <c r="F20" s="112">
        <v>4704</v>
      </c>
      <c r="G20" s="30">
        <v>282424</v>
      </c>
      <c r="H20" s="28">
        <v>0</v>
      </c>
      <c r="I20" s="28" t="s">
        <v>42</v>
      </c>
      <c r="J20" s="28">
        <v>17</v>
      </c>
      <c r="K20" s="28">
        <v>5</v>
      </c>
      <c r="L20" s="28">
        <v>1</v>
      </c>
      <c r="M20" s="28">
        <v>2301</v>
      </c>
      <c r="N20" s="28">
        <v>12</v>
      </c>
      <c r="O20" s="8">
        <v>0.15</v>
      </c>
      <c r="P20" s="8"/>
      <c r="Q20" s="8"/>
      <c r="R20" s="10" t="s">
        <v>44</v>
      </c>
      <c r="S20" s="10"/>
      <c r="T20" s="10"/>
      <c r="U20" s="10"/>
      <c r="V20" s="44">
        <v>27</v>
      </c>
      <c r="W20" s="44">
        <v>38</v>
      </c>
      <c r="X20" s="44">
        <v>96</v>
      </c>
      <c r="Y20" s="45">
        <f>IFERROR(ROUND(E20/N20,1),"-")</f>
        <v>387.5</v>
      </c>
      <c r="Z20" s="46">
        <f>IFERROR(ROUND(E20/IF(ISNUMBER(O20),O20,SUBSTITUTE(O20,"%",""))*1,1),"-")</f>
        <v>31000</v>
      </c>
      <c r="AA20" s="47">
        <f>IFERROR(ROUND(IF(ISNUMBER(O20),O20,SUBSTITUTE(O20,"%",""))*1/E20,4),"-")</f>
        <v>0</v>
      </c>
      <c r="AB20" s="48">
        <f>IFERROR(ROUND(J20/60000*100,2),"-")</f>
        <v>0.03</v>
      </c>
      <c r="AC20" s="106" t="s">
        <v>133</v>
      </c>
      <c r="AD20" s="113" t="s">
        <v>142</v>
      </c>
    </row>
    <row r="21" spans="1:30" ht="79.5" customHeight="1" x14ac:dyDescent="0.3">
      <c r="A21" s="26" t="s">
        <v>38</v>
      </c>
      <c r="B21" s="27">
        <v>46121</v>
      </c>
      <c r="C21" s="28">
        <v>1</v>
      </c>
      <c r="D21" s="28" t="s">
        <v>40</v>
      </c>
      <c r="E21" s="111">
        <v>4456</v>
      </c>
      <c r="F21" s="112">
        <v>5688</v>
      </c>
      <c r="G21" s="30">
        <v>341689</v>
      </c>
      <c r="H21" s="28">
        <v>0</v>
      </c>
      <c r="I21" s="28" t="s">
        <v>42</v>
      </c>
      <c r="J21" s="28">
        <v>26</v>
      </c>
      <c r="K21" s="28">
        <v>17</v>
      </c>
      <c r="L21" s="28">
        <v>1</v>
      </c>
      <c r="M21" s="28">
        <v>636</v>
      </c>
      <c r="N21" s="28">
        <v>12</v>
      </c>
      <c r="O21" s="8">
        <v>0.22</v>
      </c>
      <c r="P21" s="8"/>
      <c r="Q21" s="8"/>
      <c r="R21" s="8" t="s">
        <v>45</v>
      </c>
      <c r="S21" s="8"/>
      <c r="T21" s="8"/>
      <c r="U21" s="8"/>
      <c r="V21" s="44">
        <v>56</v>
      </c>
      <c r="W21" s="44">
        <v>81</v>
      </c>
      <c r="X21" s="44">
        <v>166</v>
      </c>
      <c r="Y21" s="45">
        <f>IFERROR(ROUND(E21/N21,1),"-")</f>
        <v>371.3</v>
      </c>
      <c r="Z21" s="46">
        <f>IFERROR(ROUND(E21/IF(ISNUMBER(O21),O21,SUBSTITUTE(O21,"%",""))*1,1),"-")</f>
        <v>20254.5</v>
      </c>
      <c r="AA21" s="47">
        <f>IFERROR(ROUND(IF(ISNUMBER(O21),O21,SUBSTITUTE(O21,"%",""))*1/E21,4),"-")</f>
        <v>0</v>
      </c>
      <c r="AB21" s="48">
        <f>IFERROR(ROUND(J21/60000*100,2),"-")</f>
        <v>0.04</v>
      </c>
      <c r="AC21" s="106" t="s">
        <v>133</v>
      </c>
      <c r="AD21" s="113" t="s">
        <v>142</v>
      </c>
    </row>
    <row r="22" spans="1:30" x14ac:dyDescent="0.3">
      <c r="AC22" s="107"/>
    </row>
    <row r="23" spans="1:30" x14ac:dyDescent="0.3">
      <c r="AC23" s="107"/>
    </row>
    <row r="24" spans="1:30" ht="36" customHeight="1" x14ac:dyDescent="0.3">
      <c r="A24" s="7" t="s">
        <v>46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AC24" s="107"/>
    </row>
    <row r="25" spans="1:30" ht="15" customHeight="1" x14ac:dyDescent="0.3">
      <c r="J25" s="6" t="s">
        <v>1</v>
      </c>
      <c r="K25" s="6"/>
      <c r="L25" s="6"/>
      <c r="M25" s="6"/>
      <c r="AC25" s="107"/>
    </row>
    <row r="26" spans="1:30" ht="18" customHeight="1" x14ac:dyDescent="0.3">
      <c r="A26" s="5" t="s">
        <v>25</v>
      </c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  <c r="K26" s="5" t="s">
        <v>11</v>
      </c>
      <c r="L26" s="5" t="s">
        <v>12</v>
      </c>
      <c r="M26" s="5" t="s">
        <v>13</v>
      </c>
      <c r="N26" s="5" t="s">
        <v>14</v>
      </c>
      <c r="O26" s="5" t="s">
        <v>15</v>
      </c>
      <c r="P26" s="5"/>
      <c r="Q26" s="5"/>
      <c r="R26" s="5"/>
      <c r="S26" s="5"/>
      <c r="T26" s="5"/>
      <c r="U26" s="5"/>
      <c r="V26" s="38" t="s">
        <v>16</v>
      </c>
      <c r="W26" s="38" t="s">
        <v>17</v>
      </c>
      <c r="X26" s="38" t="s">
        <v>18</v>
      </c>
      <c r="Y26" s="39" t="s">
        <v>19</v>
      </c>
      <c r="Z26" s="39" t="s">
        <v>20</v>
      </c>
      <c r="AA26" s="39" t="s">
        <v>21</v>
      </c>
      <c r="AB26" s="39" t="s">
        <v>22</v>
      </c>
      <c r="AC26" s="110" t="s">
        <v>23</v>
      </c>
      <c r="AD26" s="5" t="s">
        <v>24</v>
      </c>
    </row>
    <row r="27" spans="1:30" ht="32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 t="s">
        <v>26</v>
      </c>
      <c r="P27" s="5"/>
      <c r="Q27" s="5"/>
      <c r="R27" s="5" t="s">
        <v>27</v>
      </c>
      <c r="S27" s="5"/>
      <c r="T27" s="5"/>
      <c r="U27" s="5"/>
      <c r="V27" s="40" t="s">
        <v>28</v>
      </c>
      <c r="W27" s="40" t="s">
        <v>28</v>
      </c>
      <c r="X27" s="40" t="s">
        <v>28</v>
      </c>
      <c r="Y27" s="41" t="s">
        <v>29</v>
      </c>
      <c r="Z27" s="41" t="s">
        <v>30</v>
      </c>
      <c r="AA27" s="41" t="s">
        <v>31</v>
      </c>
      <c r="AB27" s="41" t="s">
        <v>32</v>
      </c>
      <c r="AC27" s="110"/>
      <c r="AD27" s="5"/>
    </row>
    <row r="28" spans="1:30" ht="18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 t="s">
        <v>33</v>
      </c>
      <c r="P28" s="5"/>
      <c r="Q28" s="5"/>
      <c r="R28" s="5" t="s">
        <v>33</v>
      </c>
      <c r="S28" s="5"/>
      <c r="T28" s="5"/>
      <c r="U28" s="5"/>
      <c r="V28" s="42"/>
      <c r="W28" s="42"/>
      <c r="X28" s="42"/>
      <c r="Y28" s="43"/>
      <c r="Z28" s="43"/>
      <c r="AA28" s="43"/>
      <c r="AB28" s="43"/>
      <c r="AC28" s="110"/>
      <c r="AD28" s="5"/>
    </row>
    <row r="29" spans="1:30" ht="79.5" customHeight="1" x14ac:dyDescent="0.3">
      <c r="A29" s="50" t="s">
        <v>34</v>
      </c>
      <c r="B29" s="51">
        <v>46122</v>
      </c>
      <c r="C29" s="50">
        <v>1</v>
      </c>
      <c r="D29" s="50" t="s">
        <v>47</v>
      </c>
      <c r="E29" s="52">
        <v>13094</v>
      </c>
      <c r="F29" s="50">
        <v>13450</v>
      </c>
      <c r="G29" s="52">
        <v>805984</v>
      </c>
      <c r="H29" s="50">
        <v>0</v>
      </c>
      <c r="I29" s="53" t="s">
        <v>48</v>
      </c>
      <c r="J29" s="50">
        <v>3</v>
      </c>
      <c r="K29" s="50">
        <v>3</v>
      </c>
      <c r="L29" s="50">
        <v>0</v>
      </c>
      <c r="M29" s="50">
        <v>103</v>
      </c>
      <c r="N29" s="50">
        <v>12</v>
      </c>
      <c r="O29" s="4">
        <v>0.3</v>
      </c>
      <c r="P29" s="4"/>
      <c r="Q29" s="50"/>
      <c r="R29" s="4">
        <v>0.88</v>
      </c>
      <c r="S29" s="4"/>
      <c r="T29" s="50"/>
      <c r="U29" s="50"/>
      <c r="V29" s="44">
        <v>6</v>
      </c>
      <c r="W29" s="44">
        <v>8</v>
      </c>
      <c r="X29" s="44">
        <v>13</v>
      </c>
      <c r="Y29" s="45">
        <f>IFERROR(ROUND(E29/N29,1),"-")</f>
        <v>1091.2</v>
      </c>
      <c r="Z29" s="46">
        <f>IFERROR(ROUND(E29/IF(ISNUMBER(O29),O29,SUBSTITUTE(O29,"%",""))*1,1),"-")</f>
        <v>43646.7</v>
      </c>
      <c r="AA29" s="47">
        <f>IFERROR(ROUND(IF(ISNUMBER(O29),O29,SUBSTITUTE(O29,"%",""))*1/E29,4),"-")</f>
        <v>0</v>
      </c>
      <c r="AB29" s="48">
        <f>IFERROR(ROUND(J29/60000*100,2),"-")</f>
        <v>0.01</v>
      </c>
      <c r="AC29" s="106" t="s">
        <v>135</v>
      </c>
      <c r="AD29" s="113" t="s">
        <v>132</v>
      </c>
    </row>
    <row r="30" spans="1:30" ht="79.5" customHeight="1" x14ac:dyDescent="0.3">
      <c r="A30" s="50" t="s">
        <v>37</v>
      </c>
      <c r="B30" s="51">
        <v>46122</v>
      </c>
      <c r="C30" s="50">
        <v>1</v>
      </c>
      <c r="D30" s="50" t="s">
        <v>47</v>
      </c>
      <c r="E30" s="50">
        <v>12711</v>
      </c>
      <c r="F30" s="50">
        <v>14106</v>
      </c>
      <c r="G30" s="52">
        <v>846785</v>
      </c>
      <c r="H30" s="50">
        <v>0</v>
      </c>
      <c r="I30" s="50" t="s">
        <v>48</v>
      </c>
      <c r="J30" s="50">
        <v>5</v>
      </c>
      <c r="K30" s="50">
        <v>3</v>
      </c>
      <c r="L30" s="50">
        <v>0</v>
      </c>
      <c r="M30" s="50">
        <v>45405</v>
      </c>
      <c r="N30" s="50">
        <v>12</v>
      </c>
      <c r="O30" s="4">
        <v>0.33</v>
      </c>
      <c r="P30" s="4"/>
      <c r="Q30" s="50"/>
      <c r="R30" s="4">
        <v>0.92</v>
      </c>
      <c r="S30" s="4"/>
      <c r="T30" s="50"/>
      <c r="U30" s="50"/>
      <c r="V30" s="44">
        <v>8</v>
      </c>
      <c r="W30" s="44">
        <v>11</v>
      </c>
      <c r="X30" s="44">
        <v>19</v>
      </c>
      <c r="Y30" s="45">
        <f>IFERROR(ROUND(E30/N30,1),"-")</f>
        <v>1059.3</v>
      </c>
      <c r="Z30" s="46">
        <f>IFERROR(ROUND(E30/IF(ISNUMBER(O30),O30,SUBSTITUTE(O30,"%",""))*1,1),"-")</f>
        <v>38518.199999999997</v>
      </c>
      <c r="AA30" s="47">
        <f>IFERROR(ROUND(IF(ISNUMBER(O30),O30,SUBSTITUTE(O30,"%",""))*1/E30,4),"-")</f>
        <v>0</v>
      </c>
      <c r="AB30" s="48">
        <f>IFERROR(ROUND(J30/60000*100,2),"-")</f>
        <v>0.01</v>
      </c>
      <c r="AC30" s="106" t="s">
        <v>131</v>
      </c>
      <c r="AD30" s="113" t="s">
        <v>132</v>
      </c>
    </row>
    <row r="31" spans="1:30" ht="79.5" customHeight="1" x14ac:dyDescent="0.3">
      <c r="A31" s="50" t="s">
        <v>38</v>
      </c>
      <c r="B31" s="51">
        <v>46122</v>
      </c>
      <c r="C31" s="50">
        <v>1</v>
      </c>
      <c r="D31" s="50" t="s">
        <v>47</v>
      </c>
      <c r="E31" s="50">
        <v>13185</v>
      </c>
      <c r="F31" s="50">
        <v>14647</v>
      </c>
      <c r="G31" s="52">
        <v>879418</v>
      </c>
      <c r="H31" s="50">
        <v>0</v>
      </c>
      <c r="I31" s="50" t="s">
        <v>48</v>
      </c>
      <c r="J31" s="50">
        <v>10</v>
      </c>
      <c r="K31" s="50">
        <v>3</v>
      </c>
      <c r="L31" s="50">
        <v>0</v>
      </c>
      <c r="M31" s="50">
        <v>49061</v>
      </c>
      <c r="N31" s="50">
        <v>12</v>
      </c>
      <c r="O31" s="4">
        <v>0.34</v>
      </c>
      <c r="P31" s="4"/>
      <c r="Q31" s="50"/>
      <c r="R31" s="4">
        <v>0.95</v>
      </c>
      <c r="S31" s="4"/>
      <c r="T31" s="50"/>
      <c r="U31" s="50"/>
      <c r="V31" s="44">
        <v>9</v>
      </c>
      <c r="W31" s="44">
        <v>12</v>
      </c>
      <c r="X31" s="44">
        <v>20</v>
      </c>
      <c r="Y31" s="45">
        <f>IFERROR(ROUND(E31/N31,1),"-")</f>
        <v>1098.8</v>
      </c>
      <c r="Z31" s="46">
        <f>IFERROR(ROUND(E31/IF(ISNUMBER(O31),O31,SUBSTITUTE(O31,"%",""))*1,1),"-")</f>
        <v>38779.4</v>
      </c>
      <c r="AA31" s="47">
        <f>IFERROR(ROUND(IF(ISNUMBER(O31),O31,SUBSTITUTE(O31,"%",""))*1/E31,4),"-")</f>
        <v>0</v>
      </c>
      <c r="AB31" s="48">
        <f>IFERROR(ROUND(J31/60000*100,2),"-")</f>
        <v>0.02</v>
      </c>
      <c r="AC31" s="106" t="s">
        <v>131</v>
      </c>
      <c r="AD31" s="113" t="s">
        <v>132</v>
      </c>
    </row>
  </sheetData>
  <mergeCells count="85">
    <mergeCell ref="O29:P29"/>
    <mergeCell ref="R29:S29"/>
    <mergeCell ref="O30:P30"/>
    <mergeCell ref="R30:S30"/>
    <mergeCell ref="O31:P31"/>
    <mergeCell ref="R31:S31"/>
    <mergeCell ref="O26:U26"/>
    <mergeCell ref="AC26:AC28"/>
    <mergeCell ref="AD26:AD28"/>
    <mergeCell ref="O27:Q27"/>
    <mergeCell ref="R27:U27"/>
    <mergeCell ref="O28:Q28"/>
    <mergeCell ref="R28:U28"/>
    <mergeCell ref="A24:W24"/>
    <mergeCell ref="J25:M25"/>
    <mergeCell ref="A26:A28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19:Q19"/>
    <mergeCell ref="R19:U19"/>
    <mergeCell ref="O20:Q20"/>
    <mergeCell ref="R20:U20"/>
    <mergeCell ref="O21:Q21"/>
    <mergeCell ref="R21:U21"/>
    <mergeCell ref="AC16:AC18"/>
    <mergeCell ref="AD16:AD18"/>
    <mergeCell ref="O17:Q17"/>
    <mergeCell ref="R17:U17"/>
    <mergeCell ref="O18:Q18"/>
    <mergeCell ref="R18:U18"/>
    <mergeCell ref="A14:W14"/>
    <mergeCell ref="J15:M15"/>
    <mergeCell ref="B16:B18"/>
    <mergeCell ref="C16:C18"/>
    <mergeCell ref="D16:D18"/>
    <mergeCell ref="E16:E18"/>
    <mergeCell ref="F16:F18"/>
    <mergeCell ref="G16:G18"/>
    <mergeCell ref="H16:H17"/>
    <mergeCell ref="I16:I18"/>
    <mergeCell ref="J16:J18"/>
    <mergeCell ref="K16:K18"/>
    <mergeCell ref="L16:L18"/>
    <mergeCell ref="M16:M18"/>
    <mergeCell ref="N16:N18"/>
    <mergeCell ref="O16:U16"/>
    <mergeCell ref="O7:Q7"/>
    <mergeCell ref="R7:U7"/>
    <mergeCell ref="O8:Q8"/>
    <mergeCell ref="R8:U8"/>
    <mergeCell ref="O9:Q9"/>
    <mergeCell ref="R9:U9"/>
    <mergeCell ref="AC4:AC6"/>
    <mergeCell ref="AD4:AD6"/>
    <mergeCell ref="O5:Q5"/>
    <mergeCell ref="R5:U5"/>
    <mergeCell ref="O6:Q6"/>
    <mergeCell ref="R6:U6"/>
    <mergeCell ref="A2:W2"/>
    <mergeCell ref="J3:M3"/>
    <mergeCell ref="B4:B6"/>
    <mergeCell ref="C4:C6"/>
    <mergeCell ref="D4:D6"/>
    <mergeCell ref="E4:E6"/>
    <mergeCell ref="F4:F6"/>
    <mergeCell ref="G4:G6"/>
    <mergeCell ref="H4:H5"/>
    <mergeCell ref="I4:I6"/>
    <mergeCell ref="J4:J6"/>
    <mergeCell ref="K4:K6"/>
    <mergeCell ref="L4:L6"/>
    <mergeCell ref="M4:M6"/>
    <mergeCell ref="N4:N6"/>
    <mergeCell ref="O4:U4"/>
  </mergeCells>
  <hyperlinks>
    <hyperlink ref="AD7" r:id="rId1" xr:uid="{454862AC-5733-4597-8C0F-21A009CB6675}"/>
    <hyperlink ref="AD8" r:id="rId2" xr:uid="{9AC838D1-8AB8-4876-A821-59A9D5D8DD73}"/>
    <hyperlink ref="AD9" r:id="rId3" xr:uid="{2A549E09-0B6C-4304-A3F8-1139DA9E077B}"/>
    <hyperlink ref="AD19" r:id="rId4" xr:uid="{68F67201-8C30-46D9-B0E4-06CF6334D36D}"/>
    <hyperlink ref="AD20:AD21" r:id="rId5" display="API GW REPORT" xr:uid="{39092D50-A7F6-4BEF-8125-E74D051CE261}"/>
    <hyperlink ref="AD29" r:id="rId6" xr:uid="{F8265A72-E278-43BC-A0DE-DBFF7A586E2E}"/>
    <hyperlink ref="AD30:AD31" r:id="rId7" display="IS Report" xr:uid="{7C647F79-B88D-41E3-8D1A-1E6524C4E57D}"/>
  </hyperlinks>
  <pageMargins left="0.7" right="0.7" top="0.75" bottom="0.75" header="0.511811023622047" footer="0.511811023622047"/>
  <pageSetup orientation="portrait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topLeftCell="C16" zoomScaleNormal="100" workbookViewId="0">
      <selection activeCell="M32" sqref="M32"/>
    </sheetView>
  </sheetViews>
  <sheetFormatPr defaultColWidth="8.6640625" defaultRowHeight="14.4" x14ac:dyDescent="0.3"/>
  <cols>
    <col min="1" max="1" width="20" customWidth="1"/>
    <col min="2" max="2" width="17.77734375" customWidth="1"/>
    <col min="3" max="5" width="13" customWidth="1"/>
    <col min="6" max="6" width="10" customWidth="1"/>
    <col min="7" max="7" width="13.88671875" customWidth="1"/>
    <col min="8" max="8" width="39.77734375" customWidth="1"/>
    <col min="9" max="9" width="14" customWidth="1"/>
    <col min="10" max="13" width="10" customWidth="1"/>
    <col min="14" max="14" width="8" customWidth="1"/>
    <col min="15" max="15" width="13" customWidth="1"/>
    <col min="16" max="16" width="8.109375" customWidth="1"/>
    <col min="17" max="17" width="20" customWidth="1"/>
    <col min="18" max="18" width="13" customWidth="1"/>
  </cols>
  <sheetData>
    <row r="1" spans="1:18" ht="30" customHeight="1" x14ac:dyDescent="0.3">
      <c r="A1" s="3" t="s">
        <v>121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9.5" customHeight="1" x14ac:dyDescent="0.3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 x14ac:dyDescent="0.3">
      <c r="A3" s="54" t="s">
        <v>50</v>
      </c>
      <c r="B3" s="1" t="s">
        <v>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6.5" customHeight="1" x14ac:dyDescent="0.3">
      <c r="A4" s="55" t="s">
        <v>52</v>
      </c>
      <c r="B4" s="88" t="s">
        <v>53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6.5" customHeight="1" x14ac:dyDescent="0.3">
      <c r="A5" s="56" t="s">
        <v>54</v>
      </c>
      <c r="B5" s="89" t="s">
        <v>114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 spans="1:18" ht="16.5" customHeight="1" x14ac:dyDescent="0.3">
      <c r="A6" s="55" t="s">
        <v>55</v>
      </c>
      <c r="B6" s="88" t="s">
        <v>56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16.5" customHeight="1" x14ac:dyDescent="0.3">
      <c r="A7" s="56" t="s">
        <v>57</v>
      </c>
      <c r="B7" s="89" t="s">
        <v>58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</row>
    <row r="8" spans="1:18" ht="16.5" customHeight="1" x14ac:dyDescent="0.3">
      <c r="A8" s="55" t="s">
        <v>59</v>
      </c>
      <c r="B8" s="88" t="s">
        <v>60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 ht="16.5" customHeight="1" x14ac:dyDescent="0.3">
      <c r="A9" s="56" t="s">
        <v>61</v>
      </c>
      <c r="B9" s="89" t="s">
        <v>62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</row>
    <row r="10" spans="1:18" ht="16.5" customHeight="1" x14ac:dyDescent="0.3">
      <c r="A10" s="55" t="s">
        <v>63</v>
      </c>
      <c r="B10" s="88" t="s">
        <v>64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</row>
    <row r="11" spans="1:18" ht="16.5" customHeight="1" x14ac:dyDescent="0.3">
      <c r="A11" s="56" t="s">
        <v>65</v>
      </c>
      <c r="B11" s="89" t="s">
        <v>66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</row>
    <row r="12" spans="1:18" ht="16.5" customHeight="1" x14ac:dyDescent="0.3">
      <c r="A12" s="55" t="s">
        <v>67</v>
      </c>
      <c r="B12" s="88" t="s">
        <v>68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</row>
    <row r="13" spans="1:18" ht="16.5" customHeight="1" x14ac:dyDescent="0.3">
      <c r="A13" s="56" t="s">
        <v>69</v>
      </c>
      <c r="B13" s="89" t="s">
        <v>70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</row>
    <row r="14" spans="1:18" ht="16.5" customHeight="1" x14ac:dyDescent="0.3">
      <c r="A14" s="55" t="s">
        <v>71</v>
      </c>
      <c r="B14" s="88" t="s">
        <v>72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</row>
    <row r="15" spans="1:18" ht="16.5" customHeight="1" x14ac:dyDescent="0.3">
      <c r="A15" s="56" t="s">
        <v>73</v>
      </c>
      <c r="B15" s="89" t="s">
        <v>74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</row>
    <row r="17" spans="1:18" ht="19.5" customHeight="1" x14ac:dyDescent="0.3">
      <c r="A17" s="97" t="s">
        <v>120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</row>
    <row r="18" spans="1:18" ht="15.75" customHeight="1" x14ac:dyDescent="0.3">
      <c r="A18" s="96" t="s">
        <v>116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</row>
    <row r="19" spans="1:18" ht="13.5" customHeight="1" x14ac:dyDescent="0.3">
      <c r="A19" s="58" t="s">
        <v>75</v>
      </c>
      <c r="B19" s="58" t="s">
        <v>25</v>
      </c>
      <c r="C19" s="58" t="s">
        <v>76</v>
      </c>
      <c r="D19" s="58" t="s">
        <v>6</v>
      </c>
      <c r="E19" s="58" t="s">
        <v>77</v>
      </c>
      <c r="F19" s="58" t="s">
        <v>78</v>
      </c>
      <c r="G19" s="58" t="s">
        <v>79</v>
      </c>
      <c r="H19" s="58" t="s">
        <v>80</v>
      </c>
      <c r="I19" s="58" t="s">
        <v>11</v>
      </c>
      <c r="J19" s="58" t="s">
        <v>12</v>
      </c>
      <c r="K19" s="58" t="s">
        <v>81</v>
      </c>
      <c r="L19" s="58" t="s">
        <v>82</v>
      </c>
      <c r="M19" s="58" t="s">
        <v>83</v>
      </c>
      <c r="N19" s="58" t="s">
        <v>84</v>
      </c>
      <c r="O19" s="58" t="s">
        <v>55</v>
      </c>
      <c r="P19" s="58" t="s">
        <v>85</v>
      </c>
      <c r="Q19" s="59"/>
      <c r="R19" s="59"/>
    </row>
    <row r="20" spans="1:18" ht="15.75" customHeight="1" x14ac:dyDescent="0.3">
      <c r="A20" s="104" t="s">
        <v>122</v>
      </c>
      <c r="B20" s="60">
        <v>50</v>
      </c>
      <c r="C20" s="60">
        <v>22855</v>
      </c>
      <c r="D20" s="60">
        <v>24381</v>
      </c>
      <c r="E20" s="60">
        <v>1461148</v>
      </c>
      <c r="F20" s="60">
        <v>0</v>
      </c>
      <c r="G20" s="60" t="s">
        <v>42</v>
      </c>
      <c r="H20" s="60">
        <v>1</v>
      </c>
      <c r="I20" s="60">
        <v>3</v>
      </c>
      <c r="J20" s="60">
        <v>0</v>
      </c>
      <c r="K20" s="60">
        <v>95</v>
      </c>
      <c r="L20" s="60">
        <v>3</v>
      </c>
      <c r="M20" s="60">
        <v>3</v>
      </c>
      <c r="N20" s="60">
        <v>4</v>
      </c>
      <c r="O20" s="60">
        <v>12</v>
      </c>
      <c r="P20" s="39">
        <v>1904.6</v>
      </c>
      <c r="Q20" s="61"/>
      <c r="R20" s="61"/>
    </row>
    <row r="21" spans="1:18" ht="15.75" customHeight="1" x14ac:dyDescent="0.3">
      <c r="A21" s="105" t="s">
        <v>123</v>
      </c>
      <c r="B21" s="62">
        <v>100</v>
      </c>
      <c r="C21" s="62">
        <v>22860</v>
      </c>
      <c r="D21" s="62">
        <v>24498</v>
      </c>
      <c r="E21" s="62">
        <v>1470319</v>
      </c>
      <c r="F21" s="62">
        <v>0</v>
      </c>
      <c r="G21" s="62" t="s">
        <v>42</v>
      </c>
      <c r="H21" s="62">
        <v>3</v>
      </c>
      <c r="I21" s="62">
        <v>4</v>
      </c>
      <c r="J21" s="62">
        <v>0</v>
      </c>
      <c r="K21" s="62">
        <v>149</v>
      </c>
      <c r="L21" s="62">
        <v>27</v>
      </c>
      <c r="M21" s="62">
        <v>38</v>
      </c>
      <c r="N21" s="62">
        <v>96</v>
      </c>
      <c r="O21" s="62">
        <v>12</v>
      </c>
      <c r="P21" s="63">
        <v>1905</v>
      </c>
      <c r="Q21" s="64"/>
      <c r="R21" s="64"/>
    </row>
    <row r="22" spans="1:18" ht="15.75" customHeight="1" x14ac:dyDescent="0.3">
      <c r="A22" s="60" t="s">
        <v>86</v>
      </c>
      <c r="B22" s="60">
        <v>200</v>
      </c>
      <c r="C22" s="60">
        <v>22760</v>
      </c>
      <c r="D22" s="60">
        <v>25448</v>
      </c>
      <c r="E22" s="60">
        <v>1527470</v>
      </c>
      <c r="F22" s="60">
        <v>0</v>
      </c>
      <c r="G22" s="60" t="s">
        <v>42</v>
      </c>
      <c r="H22" s="60">
        <v>5</v>
      </c>
      <c r="I22" s="60">
        <v>6</v>
      </c>
      <c r="J22" s="60">
        <v>0</v>
      </c>
      <c r="K22" s="60">
        <v>30</v>
      </c>
      <c r="L22" s="60">
        <v>9</v>
      </c>
      <c r="M22" s="60">
        <v>10</v>
      </c>
      <c r="N22" s="60">
        <v>112</v>
      </c>
      <c r="O22" s="60">
        <v>12</v>
      </c>
      <c r="P22" s="39">
        <v>1896.7</v>
      </c>
      <c r="Q22" s="61"/>
      <c r="R22" s="61"/>
    </row>
    <row r="24" spans="1:18" ht="15.75" customHeight="1" x14ac:dyDescent="0.3">
      <c r="A24" s="98" t="s">
        <v>117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</row>
    <row r="25" spans="1:18" ht="13.5" customHeight="1" x14ac:dyDescent="0.3">
      <c r="A25" s="65" t="s">
        <v>75</v>
      </c>
      <c r="B25" s="65" t="s">
        <v>25</v>
      </c>
      <c r="C25" s="65" t="s">
        <v>76</v>
      </c>
      <c r="D25" s="65" t="s">
        <v>6</v>
      </c>
      <c r="E25" s="65" t="s">
        <v>77</v>
      </c>
      <c r="F25" s="65" t="s">
        <v>78</v>
      </c>
      <c r="G25" s="65" t="s">
        <v>79</v>
      </c>
      <c r="H25" s="65" t="s">
        <v>80</v>
      </c>
      <c r="I25" s="65" t="s">
        <v>11</v>
      </c>
      <c r="J25" s="65" t="s">
        <v>12</v>
      </c>
      <c r="K25" s="65" t="s">
        <v>81</v>
      </c>
      <c r="L25" s="65" t="s">
        <v>82</v>
      </c>
      <c r="M25" s="65" t="s">
        <v>83</v>
      </c>
      <c r="N25" s="65" t="s">
        <v>84</v>
      </c>
      <c r="O25" s="65" t="s">
        <v>55</v>
      </c>
      <c r="P25" s="65" t="s">
        <v>85</v>
      </c>
      <c r="Q25" s="66"/>
      <c r="R25" s="66"/>
    </row>
    <row r="26" spans="1:18" ht="15.75" customHeight="1" x14ac:dyDescent="0.3">
      <c r="A26" s="67" t="s">
        <v>122</v>
      </c>
      <c r="B26" s="67">
        <v>50</v>
      </c>
      <c r="C26" s="67">
        <v>5360</v>
      </c>
      <c r="D26" s="67">
        <v>5683</v>
      </c>
      <c r="E26" s="67">
        <v>335728</v>
      </c>
      <c r="F26" s="67">
        <v>0</v>
      </c>
      <c r="G26" s="67" t="s">
        <v>42</v>
      </c>
      <c r="H26" s="67">
        <v>8</v>
      </c>
      <c r="I26" s="67">
        <v>17</v>
      </c>
      <c r="J26" s="67">
        <v>1</v>
      </c>
      <c r="K26" s="67">
        <v>661</v>
      </c>
      <c r="L26" s="67">
        <v>13</v>
      </c>
      <c r="M26" s="67">
        <v>16</v>
      </c>
      <c r="N26" s="67">
        <v>24</v>
      </c>
      <c r="O26" s="67">
        <v>12</v>
      </c>
      <c r="P26" s="68">
        <v>446.7</v>
      </c>
      <c r="Q26" s="69"/>
      <c r="R26" s="69"/>
    </row>
    <row r="27" spans="1:18" ht="15.75" customHeight="1" x14ac:dyDescent="0.3">
      <c r="A27" s="62" t="s">
        <v>123</v>
      </c>
      <c r="B27" s="62">
        <v>100</v>
      </c>
      <c r="C27" s="62">
        <v>4650</v>
      </c>
      <c r="D27" s="62">
        <v>4704</v>
      </c>
      <c r="E27" s="62">
        <v>282424</v>
      </c>
      <c r="F27" s="62">
        <v>0</v>
      </c>
      <c r="G27" s="62" t="s">
        <v>42</v>
      </c>
      <c r="H27" s="62">
        <v>17</v>
      </c>
      <c r="I27" s="62">
        <v>5</v>
      </c>
      <c r="J27" s="62">
        <v>1</v>
      </c>
      <c r="K27" s="62">
        <v>2301</v>
      </c>
      <c r="L27" s="62">
        <v>27</v>
      </c>
      <c r="M27" s="62">
        <v>38</v>
      </c>
      <c r="N27" s="62">
        <v>96</v>
      </c>
      <c r="O27" s="62">
        <v>12</v>
      </c>
      <c r="P27" s="70">
        <v>387.5</v>
      </c>
      <c r="Q27" s="64"/>
      <c r="R27" s="64"/>
    </row>
    <row r="28" spans="1:18" ht="15.75" customHeight="1" x14ac:dyDescent="0.3">
      <c r="A28" s="67" t="s">
        <v>125</v>
      </c>
      <c r="B28" s="67">
        <v>200</v>
      </c>
      <c r="C28" s="67">
        <v>4456</v>
      </c>
      <c r="D28" s="67">
        <v>5688</v>
      </c>
      <c r="E28" s="67">
        <v>341689</v>
      </c>
      <c r="F28" s="67">
        <v>0</v>
      </c>
      <c r="G28" s="67" t="s">
        <v>42</v>
      </c>
      <c r="H28" s="67">
        <v>26</v>
      </c>
      <c r="I28" s="67">
        <v>17</v>
      </c>
      <c r="J28" s="67">
        <v>1</v>
      </c>
      <c r="K28" s="67">
        <v>636</v>
      </c>
      <c r="L28" s="67">
        <v>56</v>
      </c>
      <c r="M28" s="67">
        <v>81</v>
      </c>
      <c r="N28" s="67">
        <v>166</v>
      </c>
      <c r="O28" s="67">
        <v>12</v>
      </c>
      <c r="P28" s="68">
        <v>371.3</v>
      </c>
      <c r="Q28" s="69"/>
      <c r="R28" s="69"/>
    </row>
    <row r="30" spans="1:18" ht="15.75" customHeight="1" x14ac:dyDescent="0.3">
      <c r="A30" s="99" t="s">
        <v>118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</row>
    <row r="31" spans="1:18" ht="13.5" customHeight="1" x14ac:dyDescent="0.3">
      <c r="A31" s="71" t="s">
        <v>75</v>
      </c>
      <c r="B31" s="71" t="s">
        <v>25</v>
      </c>
      <c r="C31" s="71" t="s">
        <v>76</v>
      </c>
      <c r="D31" s="71" t="s">
        <v>6</v>
      </c>
      <c r="E31" s="71" t="s">
        <v>77</v>
      </c>
      <c r="F31" s="71" t="s">
        <v>78</v>
      </c>
      <c r="G31" s="71" t="s">
        <v>79</v>
      </c>
      <c r="H31" s="71" t="s">
        <v>80</v>
      </c>
      <c r="I31" s="71" t="s">
        <v>11</v>
      </c>
      <c r="J31" s="71" t="s">
        <v>12</v>
      </c>
      <c r="K31" s="71" t="s">
        <v>81</v>
      </c>
      <c r="L31" s="71" t="s">
        <v>82</v>
      </c>
      <c r="M31" s="71" t="s">
        <v>83</v>
      </c>
      <c r="N31" s="71" t="s">
        <v>84</v>
      </c>
      <c r="O31" s="71" t="s">
        <v>55</v>
      </c>
      <c r="P31" s="71" t="s">
        <v>85</v>
      </c>
      <c r="Q31" s="72"/>
      <c r="R31" s="72"/>
    </row>
    <row r="32" spans="1:18" ht="15.75" customHeight="1" x14ac:dyDescent="0.3">
      <c r="A32" s="73" t="s">
        <v>122</v>
      </c>
      <c r="B32" s="73">
        <v>50</v>
      </c>
      <c r="C32" s="73">
        <v>13094</v>
      </c>
      <c r="D32" s="73">
        <v>13450</v>
      </c>
      <c r="E32" s="73">
        <v>805984</v>
      </c>
      <c r="F32" s="73">
        <v>0</v>
      </c>
      <c r="G32" s="73" t="s">
        <v>42</v>
      </c>
      <c r="H32" s="73">
        <v>3</v>
      </c>
      <c r="I32" s="73">
        <v>3</v>
      </c>
      <c r="J32" s="73">
        <v>0</v>
      </c>
      <c r="K32" s="73">
        <v>103</v>
      </c>
      <c r="L32" s="73">
        <v>6</v>
      </c>
      <c r="M32" s="73">
        <v>8</v>
      </c>
      <c r="N32" s="73">
        <v>13</v>
      </c>
      <c r="O32" s="73">
        <v>12</v>
      </c>
      <c r="P32" s="74">
        <v>1091.2</v>
      </c>
      <c r="Q32" s="75"/>
      <c r="R32" s="75"/>
    </row>
    <row r="33" spans="1:18" ht="15.75" customHeight="1" x14ac:dyDescent="0.3">
      <c r="A33" s="62" t="s">
        <v>123</v>
      </c>
      <c r="B33" s="62">
        <v>100</v>
      </c>
      <c r="C33" s="62">
        <v>12711</v>
      </c>
      <c r="D33" s="62">
        <v>14106</v>
      </c>
      <c r="E33" s="62">
        <v>846785</v>
      </c>
      <c r="F33" s="62">
        <v>0</v>
      </c>
      <c r="G33" s="62" t="s">
        <v>42</v>
      </c>
      <c r="H33" s="62">
        <v>5</v>
      </c>
      <c r="I33" s="62">
        <v>3</v>
      </c>
      <c r="J33" s="62">
        <v>0</v>
      </c>
      <c r="K33" s="76">
        <v>45405</v>
      </c>
      <c r="L33" s="62">
        <v>8</v>
      </c>
      <c r="M33" s="62">
        <v>11</v>
      </c>
      <c r="N33" s="62">
        <v>19</v>
      </c>
      <c r="O33" s="62">
        <v>12</v>
      </c>
      <c r="P33" s="77">
        <v>1059.2</v>
      </c>
      <c r="Q33" s="64"/>
      <c r="R33" s="64"/>
    </row>
    <row r="34" spans="1:18" ht="15.75" customHeight="1" x14ac:dyDescent="0.3">
      <c r="A34" s="73" t="s">
        <v>86</v>
      </c>
      <c r="B34" s="73">
        <v>200</v>
      </c>
      <c r="C34" s="73">
        <v>13185</v>
      </c>
      <c r="D34" s="73">
        <v>14647</v>
      </c>
      <c r="E34" s="73">
        <v>879418</v>
      </c>
      <c r="F34" s="73">
        <v>0</v>
      </c>
      <c r="G34" s="73" t="s">
        <v>42</v>
      </c>
      <c r="H34" s="73">
        <v>10</v>
      </c>
      <c r="I34" s="73">
        <v>3</v>
      </c>
      <c r="J34" s="73">
        <v>0</v>
      </c>
      <c r="K34" s="78">
        <v>49061</v>
      </c>
      <c r="L34" s="73">
        <v>9</v>
      </c>
      <c r="M34" s="73">
        <v>12</v>
      </c>
      <c r="N34" s="73">
        <v>20</v>
      </c>
      <c r="O34" s="73">
        <v>12</v>
      </c>
      <c r="P34" s="74">
        <v>1098.8</v>
      </c>
      <c r="Q34" s="75"/>
      <c r="R34" s="75"/>
    </row>
    <row r="36" spans="1:18" ht="19.5" customHeight="1" x14ac:dyDescent="0.3">
      <c r="A36" s="100" t="s">
        <v>87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  <row r="37" spans="1:18" ht="13.5" customHeight="1" x14ac:dyDescent="0.3">
      <c r="A37" s="71" t="s">
        <v>88</v>
      </c>
      <c r="B37" s="71" t="s">
        <v>25</v>
      </c>
      <c r="C37" s="71" t="s">
        <v>89</v>
      </c>
      <c r="D37" s="71" t="s">
        <v>90</v>
      </c>
      <c r="E37" s="71" t="s">
        <v>91</v>
      </c>
      <c r="F37" s="71" t="s">
        <v>92</v>
      </c>
      <c r="G37" s="71" t="s">
        <v>93</v>
      </c>
      <c r="H37" s="71" t="s">
        <v>115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</row>
    <row r="38" spans="1:18" ht="45.6" customHeight="1" x14ac:dyDescent="0.3">
      <c r="A38" s="79" t="s">
        <v>122</v>
      </c>
      <c r="B38" s="73">
        <v>50</v>
      </c>
      <c r="C38" s="73">
        <v>22855</v>
      </c>
      <c r="D38" s="73">
        <v>5360</v>
      </c>
      <c r="E38" s="73">
        <v>17495</v>
      </c>
      <c r="F38" s="80">
        <v>76.5</v>
      </c>
      <c r="G38" s="73" t="s">
        <v>94</v>
      </c>
      <c r="H38" s="81" t="s">
        <v>138</v>
      </c>
      <c r="I38" s="91"/>
      <c r="J38" s="91"/>
      <c r="K38" s="91"/>
      <c r="L38" s="91"/>
      <c r="M38" s="91"/>
      <c r="N38" s="91"/>
      <c r="O38" s="91"/>
      <c r="P38" s="91"/>
      <c r="Q38" s="91"/>
      <c r="R38" s="91"/>
    </row>
    <row r="39" spans="1:18" ht="39" customHeight="1" x14ac:dyDescent="0.3">
      <c r="A39" s="57" t="s">
        <v>123</v>
      </c>
      <c r="B39" s="62">
        <v>100</v>
      </c>
      <c r="C39" s="62">
        <v>22860</v>
      </c>
      <c r="D39" s="62">
        <v>4650</v>
      </c>
      <c r="E39" s="62">
        <v>18210</v>
      </c>
      <c r="F39" s="82">
        <v>79.7</v>
      </c>
      <c r="G39" s="62" t="s">
        <v>95</v>
      </c>
      <c r="H39" s="83" t="s">
        <v>137</v>
      </c>
      <c r="I39" s="92"/>
      <c r="J39" s="92"/>
      <c r="K39" s="92"/>
      <c r="L39" s="92"/>
      <c r="M39" s="92"/>
      <c r="N39" s="92"/>
      <c r="O39" s="92"/>
      <c r="P39" s="92"/>
      <c r="Q39" s="92"/>
      <c r="R39" s="92"/>
    </row>
    <row r="40" spans="1:18" ht="43.2" customHeight="1" x14ac:dyDescent="0.3">
      <c r="A40" s="79" t="s">
        <v>124</v>
      </c>
      <c r="B40" s="73">
        <v>200</v>
      </c>
      <c r="C40" s="73">
        <v>22760</v>
      </c>
      <c r="D40" s="73">
        <v>4456</v>
      </c>
      <c r="E40" s="73">
        <v>18304</v>
      </c>
      <c r="F40" s="80">
        <v>80.400000000000006</v>
      </c>
      <c r="G40" s="73" t="s">
        <v>96</v>
      </c>
      <c r="H40" s="81" t="s">
        <v>97</v>
      </c>
      <c r="I40" s="91"/>
      <c r="J40" s="91"/>
      <c r="K40" s="91"/>
      <c r="L40" s="91"/>
      <c r="M40" s="91"/>
      <c r="N40" s="91"/>
      <c r="O40" s="91"/>
      <c r="P40" s="91"/>
      <c r="Q40" s="91"/>
      <c r="R40" s="91"/>
    </row>
    <row r="42" spans="1:18" ht="38.4" customHeight="1" x14ac:dyDescent="0.3">
      <c r="A42" s="101" t="s">
        <v>115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</row>
    <row r="43" spans="1:18" ht="13.5" customHeight="1" x14ac:dyDescent="0.3">
      <c r="A43" s="54" t="s">
        <v>98</v>
      </c>
      <c r="B43" s="54" t="s">
        <v>99</v>
      </c>
      <c r="C43" s="1" t="s">
        <v>100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54.75" customHeight="1" x14ac:dyDescent="0.3">
      <c r="A44" s="63">
        <v>1</v>
      </c>
      <c r="B44" s="83" t="s">
        <v>101</v>
      </c>
      <c r="C44" s="89" t="s">
        <v>139</v>
      </c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</row>
    <row r="45" spans="1:18" ht="54.75" customHeight="1" x14ac:dyDescent="0.3">
      <c r="A45" s="84">
        <v>2</v>
      </c>
      <c r="B45" s="102" t="s">
        <v>126</v>
      </c>
      <c r="C45" s="88" t="s">
        <v>140</v>
      </c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</row>
    <row r="46" spans="1:18" ht="54.75" customHeight="1" x14ac:dyDescent="0.3">
      <c r="A46" s="63">
        <v>3</v>
      </c>
      <c r="B46" s="103" t="s">
        <v>127</v>
      </c>
      <c r="C46" s="89" t="s">
        <v>141</v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</row>
    <row r="48" spans="1:18" ht="19.5" customHeight="1" x14ac:dyDescent="0.3">
      <c r="A48" s="93" t="s">
        <v>102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</row>
    <row r="49" spans="1:18" ht="13.5" customHeight="1" x14ac:dyDescent="0.3">
      <c r="A49" s="85" t="s">
        <v>103</v>
      </c>
      <c r="B49" s="85" t="s">
        <v>104</v>
      </c>
      <c r="C49" s="94" t="s">
        <v>105</v>
      </c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</row>
    <row r="50" spans="1:18" ht="34.5" customHeight="1" x14ac:dyDescent="0.3">
      <c r="A50" s="86" t="s">
        <v>106</v>
      </c>
      <c r="B50" s="87" t="s">
        <v>119</v>
      </c>
      <c r="C50" s="95" t="s">
        <v>136</v>
      </c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</row>
    <row r="51" spans="1:18" ht="34.5" customHeight="1" x14ac:dyDescent="0.3">
      <c r="A51" s="56" t="s">
        <v>107</v>
      </c>
      <c r="B51" s="83" t="s">
        <v>119</v>
      </c>
      <c r="C51" s="89" t="s">
        <v>108</v>
      </c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</row>
    <row r="52" spans="1:18" ht="34.5" customHeight="1" x14ac:dyDescent="0.3">
      <c r="A52" s="86" t="s">
        <v>109</v>
      </c>
      <c r="B52" s="87" t="s">
        <v>119</v>
      </c>
      <c r="C52" s="95" t="s">
        <v>110</v>
      </c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</row>
  </sheetData>
  <mergeCells count="34">
    <mergeCell ref="C51:R51"/>
    <mergeCell ref="C52:R52"/>
    <mergeCell ref="A48:R48"/>
    <mergeCell ref="C49:R49"/>
    <mergeCell ref="C50:R50"/>
    <mergeCell ref="C43:R43"/>
    <mergeCell ref="C44:R44"/>
    <mergeCell ref="C45:R45"/>
    <mergeCell ref="C46:R46"/>
    <mergeCell ref="I37:R37"/>
    <mergeCell ref="I38:R38"/>
    <mergeCell ref="I39:R39"/>
    <mergeCell ref="I40:R40"/>
    <mergeCell ref="A42:R42"/>
    <mergeCell ref="A17:R17"/>
    <mergeCell ref="A18:R18"/>
    <mergeCell ref="A24:R24"/>
    <mergeCell ref="A30:R30"/>
    <mergeCell ref="A36:R36"/>
    <mergeCell ref="B11:R11"/>
    <mergeCell ref="B12:R12"/>
    <mergeCell ref="B13:R13"/>
    <mergeCell ref="B14:R14"/>
    <mergeCell ref="B15:R15"/>
    <mergeCell ref="B6:R6"/>
    <mergeCell ref="B7:R7"/>
    <mergeCell ref="B8:R8"/>
    <mergeCell ref="B9:R9"/>
    <mergeCell ref="B10:R10"/>
    <mergeCell ref="A1:R1"/>
    <mergeCell ref="A2:R2"/>
    <mergeCell ref="B3:R3"/>
    <mergeCell ref="B4:R4"/>
    <mergeCell ref="B5:R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Normal="100" workbookViewId="0">
      <selection activeCell="B3" sqref="B3"/>
    </sheetView>
  </sheetViews>
  <sheetFormatPr defaultColWidth="8.6640625" defaultRowHeight="14.4" x14ac:dyDescent="0.3"/>
  <cols>
    <col min="2" max="2" width="46.5546875" customWidth="1"/>
  </cols>
  <sheetData>
    <row r="1" spans="1:2" ht="14.25" customHeight="1" x14ac:dyDescent="0.3">
      <c r="A1" t="s">
        <v>111</v>
      </c>
      <c r="B1" t="s">
        <v>112</v>
      </c>
    </row>
    <row r="2" spans="1:2" ht="14.25" customHeight="1" x14ac:dyDescent="0.3">
      <c r="B2" t="s">
        <v>113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Summary</vt:lpstr>
      <vt:lpstr>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Sendy Prasetyo</dc:creator>
  <dc:description/>
  <cp:lastModifiedBy>Muhammad Fadhil Musyaffa</cp:lastModifiedBy>
  <cp:revision>0</cp:revision>
  <cp:lastPrinted>2026-04-13T08:08:33Z</cp:lastPrinted>
  <dcterms:created xsi:type="dcterms:W3CDTF">2023-09-14T01:58:44Z</dcterms:created>
  <dcterms:modified xsi:type="dcterms:W3CDTF">2026-04-13T08:12:08Z</dcterms:modified>
  <dc:language>en-US</dc:language>
</cp:coreProperties>
</file>